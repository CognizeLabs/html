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undation" sheetId="1" state="visible" r:id="rId3"/>
    <sheet name="Capability Backlog" sheetId="2" state="visible" r:id="rId4"/>
    <sheet name="Blueprint Coverage" sheetId="3" state="visible" r:id="rId5"/>
    <sheet name="Capability Checklist" sheetId="4" state="visible" r:id="rId6"/>
    <sheet name="Estimate Guide" sheetId="5" state="visible" r:id="rId7"/>
  </sheets>
  <definedNames>
    <definedName function="false" hidden="true" localSheetId="1" name="_xlnm._FilterDatabase" vbProcedure="false">'Capability Backlog'!$A$1:$R$14</definedName>
    <definedName function="false" hidden="true" localSheetId="0" name="_xlnm._FilterDatabase" vbProcedure="false">Foundation!$A$1:$R$22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<sst xmlns="http://schemas.openxmlformats.org/spreadsheetml/2006/main" count="732" uniqueCount="435">
  <si>
    <t xml:space="preserve">Formatted ID (from screenshot)</t>
  </si>
  <si>
    <t xml:space="preserve">Rally Name</t>
  </si>
  <si>
    <t xml:space="preserve">Updated Name</t>
  </si>
  <si>
    <t xml:space="preserve">Category</t>
  </si>
  <si>
    <t xml:space="preserve">Type</t>
  </si>
  <si>
    <t xml:space="preserve">Blueprint Layer</t>
  </si>
  <si>
    <t xml:space="preserve">Blueprint Component(s)</t>
  </si>
  <si>
    <t xml:space="preserve">Preliminary Estimate</t>
  </si>
  <si>
    <t xml:space="preserve">Description</t>
  </si>
  <si>
    <t xml:space="preserve">Foundational Scope</t>
  </si>
  <si>
    <t xml:space="preserve">How It Will Expand</t>
  </si>
  <si>
    <t xml:space="preserve">Dependencies</t>
  </si>
  <si>
    <t xml:space="preserve">Acceptance Criteria</t>
  </si>
  <si>
    <t xml:space="preserve">Design Notes</t>
  </si>
  <si>
    <t xml:space="preserve">Owner</t>
  </si>
  <si>
    <t xml:space="preserve">Tags</t>
  </si>
  <si>
    <t xml:space="preserve">Planned Start Date</t>
  </si>
  <si>
    <t xml:space="preserve">Planned End Date</t>
  </si>
  <si>
    <t xml:space="preserve">…60894</t>
  </si>
  <si>
    <t xml:space="preserve">MCP Server Group 1: Identity &amp; Policy Profile, Delegation, Authorize</t>
  </si>
  <si>
    <t xml:space="preserve">Identity &amp; Policy Foundation: profile, entitlements, delegation, on-behalf-of tokens, MCP gateway enforcement</t>
  </si>
  <si>
    <t xml:space="preserve">Foundation</t>
  </si>
  <si>
    <t xml:space="preserve">Existing</t>
  </si>
  <si>
    <t xml:space="preserve">L2 Identity &amp; delegation; L6 Entitlements; L7 MCP gateway</t>
  </si>
  <si>
    <t xml:space="preserve">Profile store; entitlement store; policy decision service; token exchange; MCP gateway enforcement</t>
  </si>
  <si>
    <t xml:space="preserve">L</t>
  </si>
  <si>
    <t xml:space="preserve">Authorization as one decision service every layer calls. Profile describes the user; entitlements decide what they can do, using roles, affiliations, broker of record and employer delegation from the onboarding system. The MCP gateway enforces each decision on every tool call, and agents act only with short-lived on-behalf-of tokens. Built first because every other feature depends on it. Aligns with the planned user authorization and profile refactor.</t>
  </si>
  <si>
    <t xml:space="preserve">Profile and entitlement stores separated; policy decision service with first policies (broker of record, employer delegation, plan-level vs member-level); token exchange for agents; MCP gateway calls the decision service on every tool call; decision audit log; policy test suite.</t>
  </si>
  <si>
    <t xml:space="preserve">Agency hierarchy, internal role policies, partner client policies, access reviews, support access, revocation events.</t>
  </si>
  <si>
    <t xml:space="preserve">Onboarding system (roles, affiliations); producer system if broker of record lives there.</t>
  </si>
  <si>
    <t xml:space="preserve">• A broker can retrieve only groups where they are broker of record; other requests are denied with a logged reason.
• An employer admin sees member-level data only when delegated.
• An agent's effective permissions are the intersection of the user's entitlements and the current step's allowed tools.
• Every allow and deny is logged with reason and policy version.
• Policies are covered by automated tests that run on every change.</t>
  </si>
  <si>
    <t xml:space="preserve">Authorization is enforced by services, never by skills or prompts.</t>
  </si>
  <si>
    <t xml:space="preserve">Kathy Brehant</t>
  </si>
  <si>
    <t xml:space="preserve">Sales &amp; Distribution</t>
  </si>
  <si>
    <t xml:space="preserve">11/2/26</t>
  </si>
  <si>
    <t xml:space="preserve">3/12/27</t>
  </si>
  <si>
    <t xml:space="preserve">…60888</t>
  </si>
  <si>
    <t xml:space="preserve">UDF Gateway Build, Guided UI Layer, Proxy with Data Externalization, SAMx / B&amp;E … [name truncated in screenshot]</t>
  </si>
  <si>
    <t xml:space="preserve">Front Door Foundation: UDF gateway, guided UI shell, proxy, SAMx embedding</t>
  </si>
  <si>
    <t xml:space="preserve">L1 Inputs; L2 Unified digital front door</t>
  </si>
  <si>
    <t xml:space="preserve">API gateway (OHID, MSID); guided UI shell and component catalog; proxy with role-based masking; embeddable panel for SAMx</t>
  </si>
  <si>
    <t xml:space="preserve">XL</t>
  </si>
  <si>
    <t xml:space="preserve">The single front door. API gateway with OHID (external) and MSID (internal) sign-in, the guided UI shell with its governed component catalog and tracker view, and a proxy that exposes back-end data safely with role-based masking. Existing APIs are redesigned where needed so the front door consumes them consistently (per the existing Rally description). The UI is embeddable so it can sit inside SAMx.</t>
  </si>
  <si>
    <t xml:space="preserve">OHID and MSID federation with onboarded/active check; on-behalf-of token hook; guided UI shell with component catalog, conversation rail and tracker view; proxy with field masking by role; SAMx embedding proven for one screen; end-to-end tracing.</t>
  </si>
  <si>
    <t xml:space="preserve">Partner gateway (see Capability Backlog), more portals, voice channel, additional components as capabilities are added.</t>
  </si>
  <si>
    <t xml:space="preserve">Identity &amp; Policy Foundation; SAMx team.</t>
  </si>
  <si>
    <t xml:space="preserve">• External users sign in via OHID and internal users via MSID; invited-but-not-onboarded users are stopped at the gateway.
• The guided UI renders only components from the approved catalog and shows the case tracker.
• The proxy masks fields the user's role is not entitled to see.
• The UI shell runs embedded in SAMx for at least one flow.
• Gateway calls are traced end to end.</t>
  </si>
  <si>
    <t xml:space="preserve">Estimate XL from the existing Rally entry; consider splitting gateway and UI if it exceeds one PI. 'B&amp;E' truncated in screenshot; confirm.</t>
  </si>
  <si>
    <t xml:space="preserve">NEW</t>
  </si>
  <si>
    <t xml:space="preserve">(none)</t>
  </si>
  <si>
    <t xml:space="preserve">Observability &amp; Eval Harness Foundation</t>
  </si>
  <si>
    <t xml:space="preserve">New (proposed)</t>
  </si>
  <si>
    <t xml:space="preserve">L10 Safety net</t>
  </si>
  <si>
    <t xml:space="preserve">OpenTelemetry tracing standard; eval harness with golden sets in CI</t>
  </si>
  <si>
    <t xml:space="preserve">M</t>
  </si>
  <si>
    <t xml:space="preserve">Make every layer observable and testable from day one. One trace per user turn across portal, orchestrator, agents, model calls and tools, and a golden-set eval harness that gates releases. Built early because every shell's acceptance criteria rely on it.</t>
  </si>
  <si>
    <t xml:space="preserve">Tracing standard and libraries for all services; trace ingestion into LingoScope; eval harness running golden sets in CI with pass thresholds; release gate on failed evals.</t>
  </si>
  <si>
    <t xml:space="preserve">Dashboards per journey step, cost and latency reporting, regression analysis.</t>
  </si>
  <si>
    <t xml:space="preserve">LingoScope platform team.</t>
  </si>
  <si>
    <t xml:space="preserve">• A single user turn produces one connected trace across all layers.
• Any change to a prompt, skill, playbook or rule runs the eval suite in CI.
• A failing eval blocks the release.
• Trace data excludes or masks PHI per policy.</t>
  </si>
  <si>
    <t xml:space="preserve">TBD</t>
  </si>
  <si>
    <t xml:space="preserve">AI Gateway Foundation</t>
  </si>
  <si>
    <t xml:space="preserve">L7 Gateways</t>
  </si>
  <si>
    <t xml:space="preserve">AI gateway: model tier routing, PHI redaction, budgets, audit capture</t>
  </si>
  <si>
    <t xml:space="preserve">Every model call goes through an AI gateway that selects the model tier, applies PHI redaction policy, enforces budgets and captures prompts and responses for audit and evals. Use an existing enterprise gateway if one is available.</t>
  </si>
  <si>
    <t xml:space="preserve">Gateway in front of approved model endpoints; tier routing per agent; PHI redaction policy; per-agent budgets; capture to audit and eval stores.</t>
  </si>
  <si>
    <t xml:space="preserve">Fallback models, cost dashboards per journey.</t>
  </si>
  <si>
    <t xml:space="preserve">Approved model endpoints for PHI; Observability &amp; Eval Harness Foundation.</t>
  </si>
  <si>
    <t xml:space="preserve">• No agent calls a model endpoint directly.
• PHI is redacted per policy in logs.
• Each agent's model tier is enforced by configuration.
• Prompts and responses are retrievable for audit.</t>
  </si>
  <si>
    <t xml:space="preserve">MCP Server Framework &amp; Registry</t>
  </si>
  <si>
    <t xml:space="preserve">L7 Gateways; L8 MCP capability servers</t>
  </si>
  <si>
    <t xml:space="preserve">MCP server template; server registry; tool definition pinning</t>
  </si>
  <si>
    <t xml:space="preserve">One template for building capability servers and one registry of approved servers. Every server built later follows the same contract rules: typed inputs and outputs, readable errors, idempotency keys on writes, explicit handles for long-running work, and tracing. The registry pins approved tool definitions so a changed tool is blocked until reviewed.</t>
  </si>
  <si>
    <t xml:space="preserve">Server template (MCP 2026-07-28, stateless); contract and idempotency conventions; input-required pattern mapped to guided questions; server registry with approval and tool pinning; integration with MCP gateway enforcement.</t>
  </si>
  <si>
    <t xml:space="preserve">Self-service onboarding for new servers; external MCP server for partners.</t>
  </si>
  <si>
    <t xml:space="preserve">Identity &amp; Policy Foundation.</t>
  </si>
  <si>
    <t xml:space="preserve">• A new server built from the template passes contract, idempotency and tracing checks automatically.
• An unregistered server cannot be called through the MCP gateway.
• A changed tool description is blocked until re-approved.
• A missing-input response is shown to the user as a guided question.</t>
  </si>
  <si>
    <t xml:space="preserve">Covers the 'framework' part of MCP Groups 2 to 5; the groups themselves are server shells built on it.</t>
  </si>
  <si>
    <t xml:space="preserve">…60895</t>
  </si>
  <si>
    <t xml:space="preserve">MCP Server Group 2: Case &amp; Routing Case, Evidence, Route, Workflow</t>
  </si>
  <si>
    <t xml:space="preserve">Case Foundation: workflow engine, case tracker, customer timeline, notifications, Case MCP server</t>
  </si>
  <si>
    <t xml:space="preserve">L3 Orchestration; L8 MCP (Case server); L9 Outputs (notices)</t>
  </si>
  <si>
    <t xml:space="preserve">Durable workflow engine; event-sourced case store; tracker read model; customer timeline; notification service; Case MCP server</t>
  </si>
  <si>
    <t xml:space="preserve">The deterministic backbone. A durable workflow engine owns requests and cases, an event-sourced case store keeps every fact and evidence item, the tracker shows real status, the customer timeline records every interaction (including what member data was shown and why), and notifications send reminders and status updates. The Case MCP server is how agents read and write case data.</t>
  </si>
  <si>
    <t xml:space="preserve">Workflow engine selected and deployed; interaction, request and case types; case lifecycle states (intake, provisional, confirmed, fan-out, fan-in, installation); tracker read model; customer timeline; notification service for timers and status; Case MCP tools with idempotency keys; approval tokens for writes.</t>
  </si>
  <si>
    <t xml:space="preserve">Partner status API, richer timeline views for account teams, SLA reporting.</t>
  </si>
  <si>
    <t xml:space="preserve">Identity &amp; Policy Foundation; MCP Server Framework.</t>
  </si>
  <si>
    <t xml:space="preserve">• A case survives restarts and deployments with no lost state.
• A material change (headcount, state, product) triggers re-evaluation and a requirement diff.
• The tracker matches workflow state: milestone, waiting on, next action, history.
• Write tools require an approval token and an idempotency key.
• Interactions are recorded on the timeline without creating a request or case; playbook timers send reminders.</t>
  </si>
  <si>
    <t xml:space="preserve">'Route' in the original name is covered by the Conversation Orchestrator; evidence extraction is in the Evidence Agent Shell.</t>
  </si>
  <si>
    <t xml:space="preserve">Decision Services Foundation: segment classifier, requirement engine, platform resolver, confidence policy, decision records</t>
  </si>
  <si>
    <t xml:space="preserve">L6 Decision services</t>
  </si>
  <si>
    <t xml:space="preserve">Rules engine; segment classifier; requirement engine; platform resolver; confidence policy; decision record store</t>
  </si>
  <si>
    <t xml:space="preserve">The rule-based layer that makes regulated decisions on facts the agents extract. Rules are versioned, effective-dated and business-owned, and every call writes a decision record. The language model never makes these decisions.</t>
  </si>
  <si>
    <t xml:space="preserve">Rules engine selected; decision record schema; segment classifier with provisional and confirmed modes; requirement engine ordering (common, then discriminating, then path-specific); platform resolver (one medical platform per case); confidence policy matrix; first rule set for one path; NY small-group rule as a test case pending compliance confirmation.</t>
  </si>
  <si>
    <t xml:space="preserve">All segments, states and funding types; rule authoring and approval workflow for business owners.</t>
  </si>
  <si>
    <t xml:space="preserve">Case Foundation; business rule owners; compliance (NY definition).</t>
  </si>
  <si>
    <t xml:space="preserve">• The same facts always produce the same decision and decision record.
• Each record includes inputs with sources, rule version, as-of date and outcome.
• Changing a threshold is a versioned rules release with an effective date, not a code change.
• Medical is never assigned to more than one platform for a case.
• Rules are covered by automated tests.</t>
  </si>
  <si>
    <t xml:space="preserve">…60883</t>
  </si>
  <si>
    <t xml:space="preserve">Skill Layer 1: Foundation Context (Policy, Route, Case)</t>
  </si>
  <si>
    <t xml:space="preserve">Journey, Playbook &amp; Skill Registry with foundation skills</t>
  </si>
  <si>
    <t xml:space="preserve">L4 Journeys; L5 Skills</t>
  </si>
  <si>
    <t xml:space="preserve">Journey catalog; intent-to-journey mapping; playbook definitions; step-to-skill-to-tool mapping; skill registry; foundation skills</t>
  </si>
  <si>
    <t xml:space="preserve">The single place where journeys, playbooks and skills are defined and linked. It holds the journey catalog, which intents map to which journey, each playbook's steps, approvals and timers, which skills load at each step and which tools each step allows, and the skill registry with versions and owners. It also delivers the foundation skills every agent uses: reading the case snapshot, explaining status and routing, and explaining an access outcome.</t>
  </si>
  <si>
    <t xml:space="preserve">Registry schema and storage; playbook and skill versioning, with cases pinned to their starting version; validation that blocks publishing when a playbook references a missing skill, a disallowed tool or an unknown rule; basic authoring and SME approval flow; one journey and one playbook loaded; three foundation skills.</t>
  </si>
  <si>
    <t xml:space="preserve">Business-friendly authoring interface; impact analysis (which playbooks use a skill).</t>
  </si>
  <si>
    <t xml:space="preserve">Case Foundation; Decision Services Foundation; MCP Server Framework.</t>
  </si>
  <si>
    <t xml:space="preserve">• A playbook cannot be published if it references a missing skill, a tool its step does not allow, or an unknown rule.
• Every playbook and skill change is versioned and approved by a named owner.
• A running case keeps the playbook version it started with unless explicitly migrated.
• Foundation skills explain decisions (for example an access denial) using the reason returned by the service, and cannot change them.</t>
  </si>
  <si>
    <t xml:space="preserve">Repurposes the Skill Layer 1 item: 'policy' is explanation only; authorization stays in Identity &amp; Policy.</t>
  </si>
  <si>
    <t xml:space="preserve">…60870</t>
  </si>
  <si>
    <t xml:space="preserve">Agent 3: Quote Journey Orchestrator Route-Selected Journey</t>
  </si>
  <si>
    <t xml:space="preserve">Conversation Orchestrator &amp; Intent Routing</t>
  </si>
  <si>
    <t xml:space="preserve">L3 Orchestration</t>
  </si>
  <si>
    <t xml:space="preserve">Conversation orchestrator; intent detection; thread tracking; resume prompt</t>
  </si>
  <si>
    <t xml:space="preserve">Understands each message, splits multi-intent requests and routes each intent to the right journey and playbook using the registry's mapping. Intent detection uses a language model; routing is configuration, so it is deterministic. Handles topic switches and offers to resume the case in focus.</t>
  </si>
  <si>
    <t xml:space="preserve">Two-stage intent detection (classifier, then LLM on low confidence or compound messages); routing via the registry; thread tracking per session; resume prompt using the case's next action; clarifying question for ambiguous messages; safe fallback for unknown intents; handoff signal scoring hook.</t>
  </si>
  <si>
    <t xml:space="preserve">Intents for every new journey; multilingual support.</t>
  </si>
  <si>
    <t xml:space="preserve">Journey, Playbook &amp; Skill Registry; Case Foundation.</t>
  </si>
  <si>
    <t xml:space="preserve">• A message with two intents creates two separately handled threads.
• An intent always maps to the same journey and playbook.
• A topic switch mid-case is answered without changing the case, and the user is offered a return with the next action.
• Ambiguous messages produce a clarifying question; unknown intents go to a logged fallback.</t>
  </si>
  <si>
    <t xml:space="preserve">Renamed from 'agent': orchestration is deterministic in the blueprint.</t>
  </si>
  <si>
    <t xml:space="preserve">Knowledge Index Foundation</t>
  </si>
  <si>
    <t xml:space="preserve">L5 Agents (knowledge); supports Concierge</t>
  </si>
  <si>
    <t xml:space="preserve">Knowledge index; source ingestion and refresh; role- and state-aware retrieval; citations</t>
  </si>
  <si>
    <t xml:space="preserve">One governed place for approved knowledge (plan documents, guides, FAQs) that any source can be plugged into. Answers cite the passage they came from, retrieval respects role and state, and sources carry owners and effective dates. Knowledge sources themselves (Surest, navigation Q&amp;A, plan documents) are added as capabilities.</t>
  </si>
  <si>
    <t xml:space="preserve">Index and ingestion pipeline; source registration with owner, effective date and refresh schedule; role- and state-filtered retrieval; citation format; one test source loaded.</t>
  </si>
  <si>
    <t xml:space="preserve">Each new knowledge source added through the capability checklist.</t>
  </si>
  <si>
    <t xml:space="preserve">Identity &amp; Policy Foundation; Observability &amp; Eval Harness Foundation.</t>
  </si>
  <si>
    <t xml:space="preserve">• Every answer built from the index includes a citation to its source passage.
• Retrieval returns only content the user's role is allowed to see.
• Expired or superseded content is not returned.
• Adding a new source requires no code change.</t>
  </si>
  <si>
    <t xml:space="preserve">…60864</t>
  </si>
  <si>
    <t xml:space="preserve">Agent 1: Distribution Experience Conversation and UI State</t>
  </si>
  <si>
    <t xml:space="preserve">Concierge Agent Shell (establishes the agent runtime template)</t>
  </si>
  <si>
    <t xml:space="preserve">L5 Agents; L2 Guided UI state</t>
  </si>
  <si>
    <t xml:space="preserve">Concierge agent; agent runtime template; guided turn contract; session/UI state</t>
  </si>
  <si>
    <t xml:space="preserve">The first agent, and the one that sets the runtime template every other agent follows: its own identity, an allowed-tool profile, skill loading, the guided turn contract (message, components, progress, next actions), tracing and a starter eval set. Concierge runs the conversation and answers from approved, cited knowledge. Business Q&amp;A content is added as capabilities.</t>
  </si>
  <si>
    <t xml:space="preserve">Agent runtime template; Concierge registered with identity and tool profile; guided turn contract; per-session UI state; Knowledge Index integration with a test source; tracing; starter eval set.</t>
  </si>
  <si>
    <t xml:space="preserve">First Q&amp;A capability (Capability Backlog), then navigation Q&amp;A, plan and benefit Q&amp;A, delegated member inquiries, case status answers.</t>
  </si>
  <si>
    <t xml:space="preserve">Front Door Foundation; Conversation Orchestrator; Knowledge Index Foundation; Identity &amp; Policy Foundation.</t>
  </si>
  <si>
    <t xml:space="preserve">• Every reply follows the guided turn contract and uses only catalog components.
• Concierge answers only from the knowledge index, with citations, and declines out-of-scope questions with an offer of help.
• Session state survives a refresh and a return visit.
• A call to a tool outside its profile is refused and logged.
• The runtime template is documented and reused by the next agent shell.</t>
  </si>
  <si>
    <t xml:space="preserve">Surest Q&amp;A moved to the Capability Backlog so the shell isn't tied to one subject.</t>
  </si>
  <si>
    <t xml:space="preserve">Human Handoff &amp; Operability: Exception agent, live-agent transfer, return to AI, LingoScope operability</t>
  </si>
  <si>
    <t xml:space="preserve">L5 Agents (Exception); L10 Safety net</t>
  </si>
  <si>
    <t xml:space="preserve">Handoff signals and policy; Exception agent; context package; queue routing; return-to-AI; LingoScope operability events</t>
  </si>
  <si>
    <t xml:space="preserve">The safety net that keeps users from getting stuck. The orchestrator scores five signals every turn (asks for a person, frustration, stalled progress, system failure, always-human rules) and one handoff policy decides. The Exception agent builds the context package (case snapshot, decision records, AI summary, transcript, trigger), routes it to the right live-agent queue as a warm transfer or ticket, and the person can hand the case back so the AI resumes. LingoScope catches cross-session failures nobody reported and raises operability events to ops queues. Built before the first capability goes live.</t>
  </si>
  <si>
    <t xml:space="preserve">Signal scoring and handoff policy; Exception agent shell; context package schema; routing to one live-agent queue; warm transfer and ticket modes; return-to-AI contract; reason codes feeding the eval harness; one LingoScope operability event type routed to an ops queue.</t>
  </si>
  <si>
    <t xml:space="preserve">All queues by journey and skill; after-hours callbacks with wait times; full reason-code taxonomy; abandonment detection per journey step.</t>
  </si>
  <si>
    <t xml:space="preserve">Conversation Orchestrator; Case Foundation; Observability &amp; Eval Harness; business owners for queue staffing and service levels.</t>
  </si>
  <si>
    <t xml:space="preserve">• Asking for a person transfers immediately with the full context package.
• Stalled progress (same requirement asked twice on a write) offers a person.
• The live agent can hand the case back and the AI resumes at the next step.
• Every handoff records a reason code that is available to the eval harness.
• LingoScope raises an operability event to the named ops queue for a defined failure pattern.</t>
  </si>
  <si>
    <t xml:space="preserve">Real-time handoff lives in the orchestrator; LingoScope covers patterns across sessions.</t>
  </si>
  <si>
    <t xml:space="preserve">…60868</t>
  </si>
  <si>
    <t xml:space="preserve">Agent 2: Intake &amp; Readiness Facts, Documents, Census</t>
  </si>
  <si>
    <t xml:space="preserve">Intake Agent Shell</t>
  </si>
  <si>
    <t xml:space="preserve">L5 Agents</t>
  </si>
  <si>
    <t xml:space="preserve">Intake agent</t>
  </si>
  <si>
    <t xml:space="preserve">S</t>
  </si>
  <si>
    <t xml:space="preserve">Gathers the next facts a case needs, validates them and writes them to the case with source and confidence. It asks only for what the requirement engine returns. Document and census reading moves to the Evidence agent.</t>
  </si>
  <si>
    <t xml:space="preserve">Agent on the runtime template; reads next questions from the requirement engine; writes facts via Case MCP tools; prefilled intake components; canonical intake fields as the smoke test.</t>
  </si>
  <si>
    <t xml:space="preserve">Path-specific intake, renewal and member-maintenance intake, prefill from existing data.</t>
  </si>
  <si>
    <t xml:space="preserve">Concierge Agent Shell (template); Case Foundation; Decision Services Foundation.</t>
  </si>
  <si>
    <t xml:space="preserve">• Free-text input produces prefilled canonical facts for confirmation.
• Each fact is stored with source and confidence.
• The agent asks only for items the requirement engine returns, in order.
• Readiness is visible on the tracker.</t>
  </si>
  <si>
    <t xml:space="preserve">Evidence Agent Shell</t>
  </si>
  <si>
    <t xml:space="preserve">Evidence agent</t>
  </si>
  <si>
    <t xml:space="preserve">Reads uploaded documents and extracts fields with a confidence score per field. It has no write tools; extracted values pass schema and confidence checks before reaching the case. Specific document types are added as capabilities.</t>
  </si>
  <si>
    <t xml:space="preserve">Agent on the runtime template with a read-only tool profile; structured extraction pipeline; per-field confidence; confidence policy check; documents treated as data (prompt-injection safeguards); one sample document as the smoke test.</t>
  </si>
  <si>
    <t xml:space="preserve">Census, payroll summaries, birth certificates, prior carrier bills (Capability Backlog).</t>
  </si>
  <si>
    <t xml:space="preserve">Concierge Agent Shell (template); Decision Services Foundation (confidence policy).</t>
  </si>
  <si>
    <t xml:space="preserve">• Extraction returns each field with a confidence score and source location.
• Low-confidence path-deciding fields are sent for confirmation instead of being used.
• The agent cannot call write tools.
• Instructions embedded in documents are ignored (adversarial eval cases).</t>
  </si>
  <si>
    <t xml:space="preserve">Split out of Agent 2 to match the blueprint.</t>
  </si>
  <si>
    <t xml:space="preserve">…60896</t>
  </si>
  <si>
    <t xml:space="preserve">MCP Server Group 3: Documents &amp; Plan Document, Census, Plans, Compatibility</t>
  </si>
  <si>
    <t xml:space="preserve">Documents, Census &amp; Plan Server Shells</t>
  </si>
  <si>
    <t xml:space="preserve">L8 MCP capability servers</t>
  </si>
  <si>
    <t xml:space="preserve">Documents server; Census server; Product &amp; plans server</t>
  </si>
  <si>
    <t xml:space="preserve">Server shells, built on the framework, for documents, census and plans, with contracts defined and stubbed responses where back ends are not yet connected. Connecting the benefits engine is a capability.</t>
  </si>
  <si>
    <t xml:space="preserve">Document upload and retrieval with short-lived links; census normalize and validate tool contracts; Product &amp; plans and compatibility tool contracts with stubs.</t>
  </si>
  <si>
    <t xml:space="preserve">Benefits engine connection, modular plans, plan summaries into the knowledge index.</t>
  </si>
  <si>
    <t xml:space="preserve">MCP Server Framework; Identity &amp; Policy Foundation.</t>
  </si>
  <si>
    <t xml:space="preserve">• Documents are stored per case and retrieved through short-lived, logged links.
• Census tools return a normalized roster and validation issues for a sample file.
• Plan tools return contract-shaped data from stubs.
• All calls pass through the MCP gateway.</t>
  </si>
  <si>
    <t xml:space="preserve">'Compatibility' assumed to mean plan/product compatibility; platform choice is the platform resolver's job.</t>
  </si>
  <si>
    <t xml:space="preserve">…60872</t>
  </si>
  <si>
    <t xml:space="preserve">Agent 5: UW Readiness Requirements &amp; Escalation</t>
  </si>
  <si>
    <t xml:space="preserve">Coordinator Agent Shell</t>
  </si>
  <si>
    <t xml:space="preserve">Coordinator agent</t>
  </si>
  <si>
    <t xml:space="preserve">Coordinates pricing and underwriting: checks readiness against the requirement engine, assembles the package, submits it and tracks outcomes per product. Escalates stuck submissions through the Exception agent.</t>
  </si>
  <si>
    <t xml:space="preserve">Agent on the runtime template; readiness check from the requirement engine; package contract; per-product child status on the tracker; escalation hook; stubbed submission as the smoke test.</t>
  </si>
  <si>
    <t xml:space="preserve">Live SAMx and UP&amp;UP pricing, A2A underwriting handoff, proposal assembly (Capability Backlog).</t>
  </si>
  <si>
    <t xml:space="preserve">Decision Services Foundation; Quote, Rating &amp; Underwriting Server Shells; Human Handoff &amp; Operability.</t>
  </si>
  <si>
    <t xml:space="preserve">• A case is reported ready only when the requirement engine returns no blocking items.
• The package matches the agreed contract and is validated before submission.
• Each product line has its own status on the tracker.
• A stalled submission is escalated with the context package.</t>
  </si>
  <si>
    <t xml:space="preserve">…60897</t>
  </si>
  <si>
    <t xml:space="preserve">MCP Server Group 4: UW &amp; Quote/Proposal UQ Intake, Requirements, Quote, Propo… [name truncated in screenshot]</t>
  </si>
  <si>
    <t xml:space="preserve">Quote, Rating &amp; Underwriting Server Shells</t>
  </si>
  <si>
    <t xml:space="preserve">Quote &amp; rating server; Underwriting server; requirements tool</t>
  </si>
  <si>
    <t xml:space="preserve">Server shells for quote and rating (one contract that will route by segment), underwriting, and requirements. Contracts are defined and stubbed; SAMx and UP&amp;UP connections are capabilities. The rate source and version are recorded on every quote.</t>
  </si>
  <si>
    <t xml:space="preserve">Quote &amp; rating contract with segment routing; underwriting submit and get-outcome contracts; requirements tool backed by the requirement engine; idempotency on writes; stubs for SAMx and UP&amp;UP.</t>
  </si>
  <si>
    <t xml:space="preserve">SAMx small-group rates, UP&amp;UP pricing and underwriting, new key and national account quote APIs.</t>
  </si>
  <si>
    <t xml:space="preserve">MCP Server Framework; Decision Services Foundation.</t>
  </si>
  <si>
    <t xml:space="preserve">• Small-group and key-account requests route through the same contract to different (stubbed) back ends.
• Every quote records its rate source and version.
• Underwriting submissions are idempotent and return trackable status.
• Requirements returned match the requirement engine's output.</t>
  </si>
  <si>
    <t xml:space="preserve">Full name truncated in the screenshot; confirm against Rally.</t>
  </si>
  <si>
    <t xml:space="preserve">…60874</t>
  </si>
  <si>
    <t xml:space="preserve">Agent 7: Enrollment Handoff Package &amp; Status</t>
  </si>
  <si>
    <t xml:space="preserve">Installation Agent Shell</t>
  </si>
  <si>
    <t xml:space="preserve">Installation agent</t>
  </si>
  <si>
    <t xml:space="preserve">Builds the installation plan per product and platform, submits it through install adapters and reconciles status. It never chooses the platform; the platform resolver does. Partial installs are raised to the Exception agent.</t>
  </si>
  <si>
    <t xml:space="preserve">Agent on the runtime template; installation plan contract per product; submission with idempotency key; status reconciliation to the tracker; stubbed adapter as the smoke test.</t>
  </si>
  <si>
    <t xml:space="preserve">Live install platform adapters and enrollment feeds (Capability Backlog).</t>
  </si>
  <si>
    <t xml:space="preserve">Enrollment &amp; Installation Server Shells; Decision Services Foundation; Human Handoff &amp; Operability.</t>
  </si>
  <si>
    <t xml:space="preserve">• Plans use the platform chosen by the platform resolver.
• Retried submissions do not create duplicates.
• Install status per product is visible on the tracker.
• A partial install raises an Exception task.</t>
  </si>
  <si>
    <t xml:space="preserve">…60898</t>
  </si>
  <si>
    <t xml:space="preserve">MCP Server Group 5: Enrollment &amp; Assurance Install Route, Handoff, Audit</t>
  </si>
  <si>
    <t xml:space="preserve">Enrollment &amp; Installation Server Shells</t>
  </si>
  <si>
    <t xml:space="preserve">L8 MCP capability servers; L10 Safety net (audit)</t>
  </si>
  <si>
    <t xml:space="preserve">Install adapter interface; install routing; audit log; handoff hook</t>
  </si>
  <si>
    <t xml:space="preserve">Server shells for installation and enrollment: one adapter interface for all platforms, install routing that uses the platform resolver, an audit log of install actions, and a hook into handoff for failures.</t>
  </si>
  <si>
    <t xml:space="preserve">Adapter interface with a stub platform; install-route tool calling the platform resolver; status reconciliation; audit log; handoff hook.</t>
  </si>
  <si>
    <t xml:space="preserve">Adapters for each medical and specialty platform; 834 enrollment feeds; partner confirmations.</t>
  </si>
  <si>
    <t xml:space="preserve">MCP Server Framework; Decision Services Foundation; Human Handoff &amp; Operability.</t>
  </si>
  <si>
    <t xml:space="preserve">• Install routing always uses the platform resolver's decision.
• Every install action is audited with actor, case and outcome.
• A failed or partial install triggers a handoff with context.
• Adapters present one contract regardless of platform.</t>
  </si>
  <si>
    <t xml:space="preserve">Servicing Agent Shell (optional for first release)</t>
  </si>
  <si>
    <t xml:space="preserve">Servicing agent</t>
  </si>
  <si>
    <t xml:space="preserve">Reserves the place for member maintenance so it can be added without architecture changes.</t>
  </si>
  <si>
    <t xml:space="preserve">Agent on the runtime template; one read-only smoke test (show current enrollment); one stubbed write behind approval tokens.</t>
  </si>
  <si>
    <t xml:space="preserve">Newborn add, terminations, life events, partner-originated changes.</t>
  </si>
  <si>
    <t xml:space="preserve">Case Foundation; Identity &amp; Policy Foundation.</t>
  </si>
  <si>
    <t xml:space="preserve">• The agent is registered and governed like other shells.
• Its stubbed write requires an approval token and an idempotency key.</t>
  </si>
  <si>
    <t xml:space="preserve">Insights Agent Shell (optional for first release)</t>
  </si>
  <si>
    <t xml:space="preserve">Insights agent; governed report definitions</t>
  </si>
  <si>
    <t xml:space="preserve">Reserves the place for governed reports and downloads.</t>
  </si>
  <si>
    <t xml:space="preserve">Agent on the runtime template; one named report produced as a short-lived, logged download link.</t>
  </si>
  <si>
    <t xml:space="preserve">Census downloads, enrollment and billing reports, commission statements.</t>
  </si>
  <si>
    <t xml:space="preserve">Documents, Census &amp; Plan Server Shells; Identity &amp; Policy Foundation.</t>
  </si>
  <si>
    <t xml:space="preserve">• Reports run only from approved definitions.
• Download links expire and every download is logged.</t>
  </si>
  <si>
    <t xml:space="preserve">First Q&amp;A Capability for Concierge (business to choose: e.g. Surest plan Q&amp;A or navigation Q&amp;A)</t>
  </si>
  <si>
    <t xml:space="preserve">Capability</t>
  </si>
  <si>
    <t xml:space="preserve">L5 Concierge; Knowledge index</t>
  </si>
  <si>
    <t xml:space="preserve">Knowledge source; Q&amp;A skill; intents; evals</t>
  </si>
  <si>
    <t xml:space="preserve">The first business capability, proving the conversation path end to end with real content. Add one approved knowledge source, a Q&amp;A skill, the intents and the eval cases, following the capability checklist.</t>
  </si>
  <si>
    <t xml:space="preserve">One knowledge source registered and indexed; Q&amp;A skill; intents mapped in the registry; access rules; 25+ eval cases including out-of-scope questions.</t>
  </si>
  <si>
    <t xml:space="preserve">Further Q&amp;A sources added the same way.</t>
  </si>
  <si>
    <t xml:space="preserve">Concierge Agent Shell; Knowledge Index; Human Handoff &amp; Operability.</t>
  </si>
  <si>
    <t xml:space="preserve">• Answers cite the source passage; out-of-scope questions are declined with an offer of help.
• Eval pass rate meets the agreed threshold before release.
• Unanswerable questions can be handed to a person.</t>
  </si>
  <si>
    <t xml:space="preserve">Choose the first source by business value and readiness.</t>
  </si>
  <si>
    <t xml:space="preserve">…60885</t>
  </si>
  <si>
    <t xml:space="preserve">Skill Layer 2: Reusable Subskill Intake (Census/Doc Readiness, Plans, UW Readine… [name truncated in screenshot]</t>
  </si>
  <si>
    <t xml:space="preserve">Reusable Skills: census and document readiness, plan information, UW readiness</t>
  </si>
  <si>
    <t xml:space="preserve">L5 Skills</t>
  </si>
  <si>
    <t xml:space="preserve">Reusable skills in the registry</t>
  </si>
  <si>
    <t xml:space="preserve">Write the reusable skills shared across journeys: census and document readiness, plan information and underwriting readiness. Each is written once, registered with declared tools and an SME owner, and reused by several playbooks.</t>
  </si>
  <si>
    <t xml:space="preserve">Four starter skills with examples, declared tools and named SME reviewers; registered and versioned.</t>
  </si>
  <si>
    <t xml:space="preserve">Member-maintenance and reporting skills.</t>
  </si>
  <si>
    <t xml:space="preserve">Journey, Playbook &amp; Skill Registry; Evidence and Intake Agent Shells.</t>
  </si>
  <si>
    <t xml:space="preserve">• Each skill is used by at least two playbooks or agents without copying.
• Each skill has a named SME reviewer and passes its eval cases.
• Census readiness flags missing or malformed columns on a sample set.</t>
  </si>
  <si>
    <t xml:space="preserve">Evidence: census extraction (first document type)</t>
  </si>
  <si>
    <t xml:space="preserve">L5 Evidence agent</t>
  </si>
  <si>
    <t xml:space="preserve">Census extraction skill; eval set</t>
  </si>
  <si>
    <t xml:space="preserve">Teach the Evidence agent to read census files reliably, with per-field confidence, using the census readiness skill.</t>
  </si>
  <si>
    <t xml:space="preserve">Census extraction for the common formats; mapping to the canonical roster; confidence thresholds per field; eval set of real anonymized census files.</t>
  </si>
  <si>
    <t xml:space="preserve">Payroll summaries, birth certificates, prior carrier bills.</t>
  </si>
  <si>
    <t xml:space="preserve">Evidence Agent Shell; Reusable Skills; Documents, Census &amp; Plan Server Shells.</t>
  </si>
  <si>
    <t xml:space="preserve">• Extraction accuracy meets the agreed threshold on the eval set.
• Low-confidence fields are flagged for confirmation.
• Unsupported formats are rejected with a clear message.</t>
  </si>
  <si>
    <t xml:space="preserve">Benefits Engine Connection (plan details, including modular plans)</t>
  </si>
  <si>
    <t xml:space="preserve">L8 Product &amp; plans server</t>
  </si>
  <si>
    <t xml:space="preserve">Benefits engine adapter</t>
  </si>
  <si>
    <t xml:space="preserve">Connect the Product &amp; plans server to the benefits engine so plan details, including modular plans, come from one source.</t>
  </si>
  <si>
    <t xml:space="preserve">Adapter for plan lookups and eligibility of products; caching rules; contract tests.</t>
  </si>
  <si>
    <t xml:space="preserve">Plan summaries into the knowledge index; renewal comparisons.</t>
  </si>
  <si>
    <t xml:space="preserve">Documents, Census &amp; Plan Server Shells; benefits engine team.</t>
  </si>
  <si>
    <t xml:space="preserve">• Plan lookups return benefits-engine data through the existing contract.
• Contract tests pass against the benefits engine test environment.
• No change is needed above the server.</t>
  </si>
  <si>
    <t xml:space="preserve">SAMx Small-Group Rates Connection</t>
  </si>
  <si>
    <t xml:space="preserve">L8 Quote &amp; rating server</t>
  </si>
  <si>
    <t xml:space="preserve">SAMx adapter</t>
  </si>
  <si>
    <t xml:space="preserve">Connect the Quote &amp; rating server to SAMx for small-group (2–50) rates, recording the rate source and version on each quote.</t>
  </si>
  <si>
    <t xml:space="preserve">SAMx adapter behind the quote contract; segment routing to SAMx for small group; contract tests.</t>
  </si>
  <si>
    <t xml:space="preserve">Revised SAMx back end, if it changes, behind the same contract.</t>
  </si>
  <si>
    <t xml:space="preserve">Quote, Rating &amp; Underwriting Server Shells; SAMx team.</t>
  </si>
  <si>
    <t xml:space="preserve">• Small-group rate requests return SAMx rates through the standard contract.
• Rate source and version are recorded.
• Errors are returned as readable results, not failures.</t>
  </si>
  <si>
    <t xml:space="preserve">…60886</t>
  </si>
  <si>
    <t xml:space="preserve">Skill Layer 3: Domain Journey Skills Quote (2-50 FI/LF, 51+ FI/LF, KA, NA)</t>
  </si>
  <si>
    <t xml:space="preserve">Quote-to-Install Playbooks and Path Skills (first path end to end, others defined)</t>
  </si>
  <si>
    <t xml:space="preserve">Quote-to-install playbooks per path; path skills</t>
  </si>
  <si>
    <t xml:space="preserve">Author the quote-to-install journey in the registry as one journey with a playbook per path (2–50 FI, 2–50 LF, 51+ FI/LF, key accounts, national accounts) and the path-specific skills. Segment and funding are decided by decision services; the matching playbook then runs. Proves the first business case path end to end.</t>
  </si>
  <si>
    <t xml:space="preserve">First priority path fully defined and running end to end in test; remaining paths defined at step level with SME sign-off; playbook switching when the path changes mid-case.</t>
  </si>
  <si>
    <t xml:space="preserve">All paths fully implemented; renewal playbooks reusing quote steps.</t>
  </si>
  <si>
    <t xml:space="preserve">Journey, Playbook &amp; Skill Registry; Decision Services Foundation; Reusable Skills; SAMx connection.</t>
  </si>
  <si>
    <t xml:space="preserve">• The first path runs from intake to installation plan in test.
• A segment change (for example 48 to 63 FTE) switches playbooks, keeps collected facts and shows only new outstanding items.
• Each defined path has an SME-approved step list.</t>
  </si>
  <si>
    <t xml:space="preserve">…60871</t>
  </si>
  <si>
    <t xml:space="preserve">Agent 4: Plan &amp; Package Advisor Compare/Explain Results</t>
  </si>
  <si>
    <t xml:space="preserve">Concierge Capability: plan and package compare/explain</t>
  </si>
  <si>
    <t xml:space="preserve">L5 Concierge; L2 comparison component</t>
  </si>
  <si>
    <t xml:space="preserve">Comparison component; compare/explain skill</t>
  </si>
  <si>
    <t xml:space="preserve">Side-by-side comparison of quote options with explanations based only on approved plan data and returned rates. A Concierge capability, not a separate agent.</t>
  </si>
  <si>
    <t xml:space="preserve">Comparison component; compare/explain skill; read-only tool access; eval cases for unsupported claims.</t>
  </si>
  <si>
    <t xml:space="preserve">Funding-type and modular plan comparisons; renewal vs re-quote.</t>
  </si>
  <si>
    <t xml:space="preserve">Concierge Agent Shell; Benefits Engine Connection; SAMx connection.</t>
  </si>
  <si>
    <t xml:space="preserve">• Two or more quote options render side by side with consistent attributes.
• Every explanation traces to plan data or returned rates.
• The capability cannot change quotes or case state.</t>
  </si>
  <si>
    <t xml:space="preserve">UP&amp;UP Pricing &amp; Underwriting Connection (including A2A package handoff)</t>
  </si>
  <si>
    <t xml:space="preserve">L8 Quote &amp; rating, Underwriting servers; A2A</t>
  </si>
  <si>
    <t xml:space="preserve">UP&amp;UP adapter; A2A task to UP&amp;UP underwriting agent</t>
  </si>
  <si>
    <t xml:space="preserve">Connect key and national account pricing and underwriting to UP&amp;UP, the unified pricing and underwriting platform. Quick pricing uses the server contract; full underwriting packages go to UP&amp;UP's underwriting agent as A2A tasks with 'input required' looping back to the broker.</t>
  </si>
  <si>
    <t xml:space="preserve">UP&amp;UP pricing adapter; A2A task contract (package, status, input required, outcome); per-product tasks; contract tests with the UP&amp;UP team.</t>
  </si>
  <si>
    <t xml:space="preserve">New key and national account quote APIs as UP&amp;UP matures.</t>
  </si>
  <si>
    <t xml:space="preserve">Quote, Rating &amp; Underwriting Server Shells; Coordinator Agent Shell; UP&amp;UP team.</t>
  </si>
  <si>
    <t xml:space="preserve">• Key-account pricing returns UP&amp;UP results through the standard contract.
• An underwriting package is accepted as an A2A task and its status shows on the tracker.
• An 'input required' response becomes a guided question to the broker.
• The outcome is recorded in a decision record.</t>
  </si>
  <si>
    <t xml:space="preserve">…60873</t>
  </si>
  <si>
    <t xml:space="preserve">Agent 6: Proposal Narrative Approved Data Only</t>
  </si>
  <si>
    <t xml:space="preserve">Coordinator Capability: proposal from approved data</t>
  </si>
  <si>
    <t xml:space="preserve">L5 Coordinator; L9 Outputs</t>
  </si>
  <si>
    <t xml:space="preserve">Proposal skill and template</t>
  </si>
  <si>
    <t xml:space="preserve">Assemble the proposal once every product has an outcome, using only approved rates and decision records. Declined products show as unavailable with the reason.</t>
  </si>
  <si>
    <t xml:space="preserve">Proposal skill with approved-data-only rule; fan-in gate enforced by the workflow; template; stored and linked on the tracker.</t>
  </si>
  <si>
    <t xml:space="preserve">Multi-product, multi-funding and renewal proposals.</t>
  </si>
  <si>
    <t xml:space="preserve">Coordinator Agent Shell; SAMx and UP&amp;UP connections.</t>
  </si>
  <si>
    <t xml:space="preserve">• A proposal cannot be generated until every product has a terminal outcome.
• Every number matches the approved rate source (automated check).
• Declined products show their reason.</t>
  </si>
  <si>
    <t xml:space="preserve">First Install Platform Adapter</t>
  </si>
  <si>
    <t xml:space="preserve">L8 Install adapters</t>
  </si>
  <si>
    <t xml:space="preserve">Adapter for the first medical platform</t>
  </si>
  <si>
    <t xml:space="preserve">Connect the first installation platform behind the adapter interface so the first path can install end to end.</t>
  </si>
  <si>
    <t xml:space="preserve">Adapter for one platform; status reconciliation; contract tests.</t>
  </si>
  <si>
    <t xml:space="preserve">Remaining medical and specialty platforms.</t>
  </si>
  <si>
    <t xml:space="preserve">Enrollment &amp; Installation Server Shells; Installation Agent Shell; platform team.</t>
  </si>
  <si>
    <t xml:space="preserve">• Installation submits and confirms through the standard contract.
• Retries do not duplicate installs.
• Status reconciles to the tracker.</t>
  </si>
  <si>
    <t xml:space="preserve">Partner Gateway: Benefitter quote requests</t>
  </si>
  <si>
    <t xml:space="preserve">L2 Partner gateway</t>
  </si>
  <si>
    <t xml:space="preserve">Partner API; status webhooks</t>
  </si>
  <si>
    <t xml:space="preserve">Let Benefitter send quote requests through the same front door, creating cases on the same tracker with status sent back by webhook.</t>
  </si>
  <si>
    <t xml:space="preserve">Partner client authentication; inbound quote-request API; status webhook; partner context on every request.</t>
  </si>
  <si>
    <t xml:space="preserve">A2A if Benefitter exposes an agent.</t>
  </si>
  <si>
    <t xml:space="preserve">Front Door Foundation; Identity &amp; Policy Foundation; Benefitter interface confirmation.</t>
  </si>
  <si>
    <t xml:space="preserve">• A Benefitter request creates a case on the standard tracker.
• Status updates are sent back via webhook.
• Partner requests pass the same entitlement checks as portal requests.</t>
  </si>
  <si>
    <t xml:space="preserve">Partner Gateway: Employee Navigator and Gusto change events</t>
  </si>
  <si>
    <t xml:space="preserve">L2 Partner gateway; member maintenance</t>
  </si>
  <si>
    <t xml:space="preserve">Change-event intake; 834 feeds</t>
  </si>
  <si>
    <t xml:space="preserve">Accept member changes from Employee Navigator and Gusto as servicing requests with the same validation and approvals as portal changes. Conflicting changes go to the exception queue.</t>
  </si>
  <si>
    <t xml:space="preserve">Change-event intake; mapping to servicing requests; conflict detection; confirmations back.</t>
  </si>
  <si>
    <t xml:space="preserve">Full member maintenance journey.</t>
  </si>
  <si>
    <t xml:space="preserve">Servicing Agent Shell; Front Door Foundation; partner interface confirmation.</t>
  </si>
  <si>
    <t xml:space="preserve">• A partner change creates a servicing request on the tracker.
• Conflicting changes from two sources go to a person.
• Confirmations are sent back to the partner.</t>
  </si>
  <si>
    <t xml:space="preserve">Later phase; depends on member maintenance priority.</t>
  </si>
  <si>
    <t xml:space="preserve">Email Intake</t>
  </si>
  <si>
    <t xml:space="preserve">L1 Inputs</t>
  </si>
  <si>
    <t xml:space="preserve">Email-to-case intake</t>
  </si>
  <si>
    <t xml:space="preserve">Turn inbound emails with attachments into cases or requests on the tracker, so email is handled like any other door.</t>
  </si>
  <si>
    <t xml:space="preserve">Monitored inbox; sender verification against broker records; attachment handoff to Evidence; case creation; reply with tracker link.</t>
  </si>
  <si>
    <t xml:space="preserve">Automatic routing by email content.</t>
  </si>
  <si>
    <t xml:space="preserve">Case Foundation; Evidence census extraction; Identity &amp; Policy Foundation.</t>
  </si>
  <si>
    <t xml:space="preserve">• An email from a known broker with a census creates a case with the attachment.
• Unknown senders are not processed and are flagged.
• The sender receives a confirmation with a tracker link.</t>
  </si>
  <si>
    <t xml:space="preserve">Can be deferred if email volume is low.</t>
  </si>
  <si>
    <t xml:space="preserve">Component</t>
  </si>
  <si>
    <t xml:space="preserve">Covered By</t>
  </si>
  <si>
    <t xml:space="preserve">Brokers, employer admins, sales ops (portal, SAMx)</t>
  </si>
  <si>
    <t xml:space="preserve">Front Door Foundation</t>
  </si>
  <si>
    <t xml:space="preserve">Partners (Benefitter, Employee Navigator, Gusto)</t>
  </si>
  <si>
    <t xml:space="preserve">Capability: Partner Gateway features</t>
  </si>
  <si>
    <t xml:space="preserve">Email</t>
  </si>
  <si>
    <t xml:space="preserve">Capability: Email Intake</t>
  </si>
  <si>
    <t xml:space="preserve">L2 Front door</t>
  </si>
  <si>
    <t xml:space="preserve">API gateway, identity and delegation</t>
  </si>
  <si>
    <t xml:space="preserve">Front Door Foundation; Identity &amp; Policy Foundation</t>
  </si>
  <si>
    <t xml:space="preserve">Guided UI shell and components</t>
  </si>
  <si>
    <t xml:space="preserve">Front Door Foundation; Concierge Agent Shell</t>
  </si>
  <si>
    <t xml:space="preserve">Partner gateway</t>
  </si>
  <si>
    <t xml:space="preserve">Conversation orchestrator</t>
  </si>
  <si>
    <t xml:space="preserve">Case workflow engine, case tracker</t>
  </si>
  <si>
    <t xml:space="preserve">Case Foundation</t>
  </si>
  <si>
    <t xml:space="preserve">L4 Journeys</t>
  </si>
  <si>
    <t xml:space="preserve">Journey catalog, playbooks, step-to-skill mapping</t>
  </si>
  <si>
    <t xml:space="preserve">Journey, Playbook &amp; Skill Registry</t>
  </si>
  <si>
    <t xml:space="preserve">Quote to install</t>
  </si>
  <si>
    <t xml:space="preserve">Capability: Quote-to-Install Playbooks and Path Skills</t>
  </si>
  <si>
    <t xml:space="preserve">Member maintenance, inquiries, census and reporting, renewal</t>
  </si>
  <si>
    <t xml:space="preserve">Later capabilities; Servicing and Insights shells reserve the place</t>
  </si>
  <si>
    <t xml:space="preserve">Concierge</t>
  </si>
  <si>
    <t xml:space="preserve">Concierge Agent Shell; capabilities: First Q&amp;A, Plan compare</t>
  </si>
  <si>
    <t xml:space="preserve">Intake</t>
  </si>
  <si>
    <t xml:space="preserve">Evidence</t>
  </si>
  <si>
    <t xml:space="preserve">Evidence Agent Shell; capability: census extraction</t>
  </si>
  <si>
    <t xml:space="preserve">Coordinator</t>
  </si>
  <si>
    <t xml:space="preserve">Coordinator Agent Shell; capabilities: UP&amp;UP connection, proposal</t>
  </si>
  <si>
    <t xml:space="preserve">Installation</t>
  </si>
  <si>
    <t xml:space="preserve">Installation Agent Shell; capability: first install adapter</t>
  </si>
  <si>
    <t xml:space="preserve">Servicing</t>
  </si>
  <si>
    <t xml:space="preserve">Servicing Agent Shell (optional)</t>
  </si>
  <si>
    <t xml:space="preserve">Insights</t>
  </si>
  <si>
    <t xml:space="preserve">Insights Agent Shell (optional)</t>
  </si>
  <si>
    <t xml:space="preserve">Exception</t>
  </si>
  <si>
    <t xml:space="preserve">Human Handoff &amp; Operability</t>
  </si>
  <si>
    <t xml:space="preserve">Foundation skills</t>
  </si>
  <si>
    <t xml:space="preserve">Reusable and path skills</t>
  </si>
  <si>
    <t xml:space="preserve">Capabilities: Reusable Skills; Quote-to-Install Playbooks</t>
  </si>
  <si>
    <t xml:space="preserve">L5 Knowledge</t>
  </si>
  <si>
    <t xml:space="preserve">Knowledge index</t>
  </si>
  <si>
    <t xml:space="preserve">Segment classifier, requirement engine, platform resolver, confidence policy</t>
  </si>
  <si>
    <t xml:space="preserve">Decision Services Foundation</t>
  </si>
  <si>
    <t xml:space="preserve">Entitlements</t>
  </si>
  <si>
    <t xml:space="preserve">Identity &amp; Policy Foundation</t>
  </si>
  <si>
    <t xml:space="preserve">AI gateway</t>
  </si>
  <si>
    <t xml:space="preserve">MCP gateway, server registry, tool pinning</t>
  </si>
  <si>
    <t xml:space="preserve">Identity &amp; Policy Foundation; MCP Server Framework &amp; Registry</t>
  </si>
  <si>
    <t xml:space="preserve">L8 MCP servers</t>
  </si>
  <si>
    <t xml:space="preserve">Case</t>
  </si>
  <si>
    <t xml:space="preserve">Documents, census, product and plans</t>
  </si>
  <si>
    <t xml:space="preserve">Documents, Census &amp; Plan Server Shells; capability: Benefits Engine Connection</t>
  </si>
  <si>
    <t xml:space="preserve">Quote and rating, underwriting</t>
  </si>
  <si>
    <t xml:space="preserve">Quote, Rating &amp; Underwriting Server Shells; capabilities: SAMx and UP&amp;UP connections</t>
  </si>
  <si>
    <t xml:space="preserve">Install adapters</t>
  </si>
  <si>
    <t xml:space="preserve">Enrollment &amp; Installation Server Shells; capability: First Install Platform Adapter</t>
  </si>
  <si>
    <t xml:space="preserve">Membership, benefits and claims, producer</t>
  </si>
  <si>
    <t xml:space="preserve">Not in first wave (later capabilities)</t>
  </si>
  <si>
    <t xml:space="preserve">L9 Outputs</t>
  </si>
  <si>
    <t xml:space="preserve">Systems of record, notices and documents, partner callbacks</t>
  </si>
  <si>
    <t xml:space="preserve">Case Foundation (notifications); installation and proposal capabilities; Partner Gateway</t>
  </si>
  <si>
    <t xml:space="preserve">Human handoff, return to AI, LingoScope operability</t>
  </si>
  <si>
    <t xml:space="preserve">Tracing and eval harness</t>
  </si>
  <si>
    <t xml:space="preserve">Enablers (not features)</t>
  </si>
  <si>
    <t xml:space="preserve">Environments and pipelines, security and PHI review, model risk sign-off, data retention, performance targets</t>
  </si>
  <si>
    <t xml:space="preserve">Own as enablers or acceptance criteria on the shells</t>
  </si>
  <si>
    <t xml:space="preserve">Step</t>
  </si>
  <si>
    <t xml:space="preserve">What to do</t>
  </si>
  <si>
    <t xml:space="preserve">Where it lives</t>
  </si>
  <si>
    <t xml:space="preserve">Register the knowledge source or connect the tool (MCP server adapter)</t>
  </si>
  <si>
    <t xml:space="preserve">Knowledge Index / MCP Server Framework</t>
  </si>
  <si>
    <t xml:space="preserve">Write and review the skill with a named SME</t>
  </si>
  <si>
    <t xml:space="preserve">Map intents and playbook steps, including allowed tools</t>
  </si>
  <si>
    <t xml:space="preserve">Set the access rules</t>
  </si>
  <si>
    <t xml:space="preserve">Add eval cases and pass the release gate</t>
  </si>
  <si>
    <t xml:space="preserve">Observability &amp; Eval Harness</t>
  </si>
  <si>
    <t xml:space="preserve">Size</t>
  </si>
  <si>
    <t xml:space="preserve">Meaning (assumption; adjust to team velocity)</t>
  </si>
  <si>
    <t xml:space="preserve">Capability Backlog</t>
  </si>
  <si>
    <t xml:space="preserve">Total</t>
  </si>
  <si>
    <t xml:space="preserve">XS</t>
  </si>
  <si>
    <t xml:space="preserve">Configuration or a small change; under one sprint for one team</t>
  </si>
  <si>
    <t xml:space="preserve">About one sprint for one team</t>
  </si>
  <si>
    <t xml:space="preserve">Two to three sprints for one team</t>
  </si>
  <si>
    <t xml:space="preserve">Four to six sprints, or work spanning two teams</t>
  </si>
  <si>
    <t xml:space="preserve">More than six sprints or several teams; consider splitting</t>
  </si>
  <si>
    <t xml:space="preserve">Notes</t>
  </si>
  <si>
    <t xml:space="preserve">Rows are listed in suggested build order on each tab. Shells wire a component into the architecture with contracts, identity, permissions, tracing and tests, plus a smoke test; business content is added as capabilities using the Capability Checklist. Yellow rows are new proposed features. IDs and three names were read from screenshots; check against Rally. The XL on the Front Door feature comes from the existing Rally entry.</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</si>
</sst>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40"/>
    <col collapsed="false" customWidth="true" hidden="false" outlineLevel="0" max="4" min="4" style="0" width="12"/>
    <col collapsed="false" customWidth="true" hidden="false" outlineLevel="0" max="5" min="5" style="0" width="13"/>
    <col collapsed="false" customWidth="true" hidden="false" outlineLevel="0" max="6" min="6" style="0" width="28"/>
    <col collapsed="false" customWidth="true" hidden="false" outlineLevel="0" max="7" min="7" style="0" width="34"/>
    <col collapsed="false" customWidth="true" hidden="false" outlineLevel="0" max="8" min="8" style="0" width="11"/>
    <col collapsed="false" customWidth="true" hidden="false" outlineLevel="0" max="9" min="9" style="0" width="60"/>
    <col collapsed="false" customWidth="true" hidden="false" outlineLevel="0" max="10" min="10" style="0" width="55"/>
    <col collapsed="false" customWidth="true" hidden="false" outlineLevel="0" max="11" min="11" style="0" width="40"/>
    <col collapsed="false" customWidth="true" hidden="false" outlineLevel="0" max="12" min="12" style="0" width="38"/>
    <col collapsed="false" customWidth="true" hidden="false" outlineLevel="0" max="13" min="13" style="0" width="65"/>
    <col collapsed="false" customWidth="true" hidden="false" outlineLevel="0" max="14" min="14" style="0" width="40"/>
    <col collapsed="false" customWidth="true" hidden="false" outlineLevel="0" max="15" min="15" style="0" width="14"/>
    <col collapsed="false" customWidth="true" hidden="false" outlineLevel="0" max="16" min="16" style="0" width="18"/>
    <col collapsed="false" customWidth="true" hidden="false" outlineLevel="0" max="18" min="17"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79.85" hidden="false" customHeight="false" outlineLevel="0" collapsed="false">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row>
    <row r="3" customFormat="false" ht="79.85" hidden="false" customHeight="false" outlineLevel="0" collapsed="false">
      <c r="A3" s="2" t="s">
        <v>36</v>
      </c>
      <c r="B3" s="2" t="s">
        <v>37</v>
      </c>
      <c r="C3" s="2" t="s">
        <v>38</v>
      </c>
      <c r="D3" s="2" t="s">
        <v>21</v>
      </c>
      <c r="E3" s="2" t="s">
        <v>22</v>
      </c>
      <c r="F3" s="2" t="s">
        <v>39</v>
      </c>
      <c r="G3" s="2" t="s">
        <v>40</v>
      </c>
      <c r="H3" s="2" t="s">
        <v>41</v>
      </c>
      <c r="I3" s="2" t="s">
        <v>42</v>
      </c>
      <c r="J3" s="2" t="s">
        <v>43</v>
      </c>
      <c r="K3" s="2" t="s">
        <v>44</v>
      </c>
      <c r="L3" s="2" t="s">
        <v>45</v>
      </c>
      <c r="M3" s="2" t="s">
        <v>46</v>
      </c>
      <c r="N3" s="2" t="s">
        <v>47</v>
      </c>
      <c r="O3" s="2" t="s">
        <v>32</v>
      </c>
      <c r="P3" s="2" t="s">
        <v>33</v>
      </c>
      <c r="Q3" s="2" t="s">
        <v>34</v>
      </c>
      <c r="R3" s="2" t="s">
        <v>35</v>
      </c>
    </row>
    <row r="4" customFormat="false" ht="46.25" hidden="false" customHeight="false" outlineLevel="0" collapsed="false">
      <c r="A4" s="3" t="s">
        <v>48</v>
      </c>
      <c r="B4" s="3" t="s">
        <v>49</v>
      </c>
      <c r="C4" s="3" t="s">
        <v>50</v>
      </c>
      <c r="D4" s="3" t="s">
        <v>21</v>
      </c>
      <c r="E4" s="3" t="s">
        <v>51</v>
      </c>
      <c r="F4" s="3" t="s">
        <v>52</v>
      </c>
      <c r="G4" s="3" t="s">
        <v>53</v>
      </c>
      <c r="H4" s="3" t="s">
        <v>54</v>
      </c>
      <c r="I4" s="3" t="s">
        <v>55</v>
      </c>
      <c r="J4" s="3" t="s">
        <v>56</v>
      </c>
      <c r="K4" s="3" t="s">
        <v>57</v>
      </c>
      <c r="L4" s="3" t="s">
        <v>58</v>
      </c>
      <c r="M4" s="3" t="s">
        <v>59</v>
      </c>
      <c r="N4" s="3"/>
      <c r="O4" s="3" t="s">
        <v>60</v>
      </c>
      <c r="P4" s="3" t="s">
        <v>33</v>
      </c>
      <c r="Q4" s="3"/>
      <c r="R4" s="3"/>
    </row>
    <row r="5" customFormat="false" ht="46.25" hidden="false" customHeight="false" outlineLevel="0" collapsed="false">
      <c r="A5" s="3" t="s">
        <v>48</v>
      </c>
      <c r="B5" s="3" t="s">
        <v>49</v>
      </c>
      <c r="C5" s="3" t="s">
        <v>61</v>
      </c>
      <c r="D5" s="3" t="s">
        <v>21</v>
      </c>
      <c r="E5" s="3" t="s">
        <v>51</v>
      </c>
      <c r="F5" s="3" t="s">
        <v>62</v>
      </c>
      <c r="G5" s="3" t="s">
        <v>63</v>
      </c>
      <c r="H5" s="3" t="s">
        <v>54</v>
      </c>
      <c r="I5" s="3" t="s">
        <v>64</v>
      </c>
      <c r="J5" s="3" t="s">
        <v>65</v>
      </c>
      <c r="K5" s="3" t="s">
        <v>66</v>
      </c>
      <c r="L5" s="3" t="s">
        <v>67</v>
      </c>
      <c r="M5" s="3" t="s">
        <v>68</v>
      </c>
      <c r="N5" s="3"/>
      <c r="O5" s="3" t="s">
        <v>60</v>
      </c>
      <c r="P5" s="3" t="s">
        <v>33</v>
      </c>
      <c r="Q5" s="3"/>
      <c r="R5" s="3"/>
    </row>
    <row r="6" customFormat="false" ht="57.45" hidden="false" customHeight="false" outlineLevel="0" collapsed="false">
      <c r="A6" s="3" t="s">
        <v>48</v>
      </c>
      <c r="B6" s="3" t="s">
        <v>49</v>
      </c>
      <c r="C6" s="3" t="s">
        <v>69</v>
      </c>
      <c r="D6" s="3" t="s">
        <v>21</v>
      </c>
      <c r="E6" s="3" t="s">
        <v>51</v>
      </c>
      <c r="F6" s="3" t="s">
        <v>70</v>
      </c>
      <c r="G6" s="3" t="s">
        <v>71</v>
      </c>
      <c r="H6" s="3" t="s">
        <v>54</v>
      </c>
      <c r="I6" s="3" t="s">
        <v>72</v>
      </c>
      <c r="J6" s="3" t="s">
        <v>73</v>
      </c>
      <c r="K6" s="3" t="s">
        <v>74</v>
      </c>
      <c r="L6" s="3" t="s">
        <v>75</v>
      </c>
      <c r="M6" s="3" t="s">
        <v>76</v>
      </c>
      <c r="N6" s="3" t="s">
        <v>77</v>
      </c>
      <c r="O6" s="3" t="s">
        <v>60</v>
      </c>
      <c r="P6" s="3" t="s">
        <v>33</v>
      </c>
      <c r="Q6" s="3"/>
      <c r="R6" s="3"/>
    </row>
    <row r="7" customFormat="false" ht="79.85" hidden="false" customHeight="false" outlineLevel="0" collapsed="false">
      <c r="A7" s="2" t="s">
        <v>78</v>
      </c>
      <c r="B7" s="2" t="s">
        <v>79</v>
      </c>
      <c r="C7" s="2" t="s">
        <v>80</v>
      </c>
      <c r="D7" s="2" t="s">
        <v>21</v>
      </c>
      <c r="E7" s="2" t="s">
        <v>22</v>
      </c>
      <c r="F7" s="2" t="s">
        <v>81</v>
      </c>
      <c r="G7" s="2" t="s">
        <v>82</v>
      </c>
      <c r="H7" s="2" t="s">
        <v>41</v>
      </c>
      <c r="I7" s="2" t="s">
        <v>83</v>
      </c>
      <c r="J7" s="2" t="s">
        <v>84</v>
      </c>
      <c r="K7" s="2" t="s">
        <v>85</v>
      </c>
      <c r="L7" s="2" t="s">
        <v>86</v>
      </c>
      <c r="M7" s="2" t="s">
        <v>87</v>
      </c>
      <c r="N7" s="2" t="s">
        <v>88</v>
      </c>
      <c r="O7" s="2" t="s">
        <v>32</v>
      </c>
      <c r="P7" s="2" t="s">
        <v>33</v>
      </c>
      <c r="Q7" s="2" t="s">
        <v>34</v>
      </c>
      <c r="R7" s="2" t="s">
        <v>35</v>
      </c>
    </row>
    <row r="8" customFormat="false" ht="79.85" hidden="false" customHeight="false" outlineLevel="0" collapsed="false">
      <c r="A8" s="3" t="s">
        <v>48</v>
      </c>
      <c r="B8" s="3" t="s">
        <v>49</v>
      </c>
      <c r="C8" s="3" t="s">
        <v>89</v>
      </c>
      <c r="D8" s="3" t="s">
        <v>21</v>
      </c>
      <c r="E8" s="3" t="s">
        <v>51</v>
      </c>
      <c r="F8" s="3" t="s">
        <v>90</v>
      </c>
      <c r="G8" s="3" t="s">
        <v>91</v>
      </c>
      <c r="H8" s="3" t="s">
        <v>25</v>
      </c>
      <c r="I8" s="3" t="s">
        <v>92</v>
      </c>
      <c r="J8" s="3" t="s">
        <v>93</v>
      </c>
      <c r="K8" s="3" t="s">
        <v>94</v>
      </c>
      <c r="L8" s="3" t="s">
        <v>95</v>
      </c>
      <c r="M8" s="3" t="s">
        <v>96</v>
      </c>
      <c r="N8" s="3"/>
      <c r="O8" s="3" t="s">
        <v>60</v>
      </c>
      <c r="P8" s="3" t="s">
        <v>33</v>
      </c>
      <c r="Q8" s="3"/>
      <c r="R8" s="3"/>
    </row>
    <row r="9" customFormat="false" ht="79.85" hidden="false" customHeight="false" outlineLevel="0" collapsed="false">
      <c r="A9" s="2" t="s">
        <v>97</v>
      </c>
      <c r="B9" s="2" t="s">
        <v>98</v>
      </c>
      <c r="C9" s="2" t="s">
        <v>99</v>
      </c>
      <c r="D9" s="2" t="s">
        <v>21</v>
      </c>
      <c r="E9" s="2" t="s">
        <v>22</v>
      </c>
      <c r="F9" s="2" t="s">
        <v>100</v>
      </c>
      <c r="G9" s="2" t="s">
        <v>101</v>
      </c>
      <c r="H9" s="2" t="s">
        <v>54</v>
      </c>
      <c r="I9" s="2" t="s">
        <v>102</v>
      </c>
      <c r="J9" s="2" t="s">
        <v>103</v>
      </c>
      <c r="K9" s="2" t="s">
        <v>104</v>
      </c>
      <c r="L9" s="2" t="s">
        <v>105</v>
      </c>
      <c r="M9" s="2" t="s">
        <v>106</v>
      </c>
      <c r="N9" s="2" t="s">
        <v>107</v>
      </c>
      <c r="O9" s="2" t="s">
        <v>32</v>
      </c>
      <c r="P9" s="2" t="s">
        <v>33</v>
      </c>
      <c r="Q9" s="2" t="s">
        <v>34</v>
      </c>
      <c r="R9" s="2" t="s">
        <v>35</v>
      </c>
    </row>
    <row r="10" customFormat="false" ht="68.65" hidden="false" customHeight="false" outlineLevel="0" collapsed="false">
      <c r="A10" s="2" t="s">
        <v>108</v>
      </c>
      <c r="B10" s="2" t="s">
        <v>109</v>
      </c>
      <c r="C10" s="2" t="s">
        <v>110</v>
      </c>
      <c r="D10" s="2" t="s">
        <v>21</v>
      </c>
      <c r="E10" s="2" t="s">
        <v>22</v>
      </c>
      <c r="F10" s="2" t="s">
        <v>111</v>
      </c>
      <c r="G10" s="2" t="s">
        <v>112</v>
      </c>
      <c r="H10" s="2" t="s">
        <v>25</v>
      </c>
      <c r="I10" s="2" t="s">
        <v>113</v>
      </c>
      <c r="J10" s="2" t="s">
        <v>114</v>
      </c>
      <c r="K10" s="2" t="s">
        <v>115</v>
      </c>
      <c r="L10" s="2" t="s">
        <v>116</v>
      </c>
      <c r="M10" s="2" t="s">
        <v>117</v>
      </c>
      <c r="N10" s="2" t="s">
        <v>118</v>
      </c>
      <c r="O10" s="2" t="s">
        <v>32</v>
      </c>
      <c r="P10" s="2" t="s">
        <v>33</v>
      </c>
      <c r="Q10" s="2" t="s">
        <v>34</v>
      </c>
      <c r="R10" s="2" t="s">
        <v>35</v>
      </c>
    </row>
    <row r="11" customFormat="false" ht="57.45" hidden="false" customHeight="false" outlineLevel="0" collapsed="false">
      <c r="A11" s="3" t="s">
        <v>48</v>
      </c>
      <c r="B11" s="3" t="s">
        <v>49</v>
      </c>
      <c r="C11" s="3" t="s">
        <v>119</v>
      </c>
      <c r="D11" s="3" t="s">
        <v>21</v>
      </c>
      <c r="E11" s="3" t="s">
        <v>51</v>
      </c>
      <c r="F11" s="3" t="s">
        <v>120</v>
      </c>
      <c r="G11" s="3" t="s">
        <v>121</v>
      </c>
      <c r="H11" s="3" t="s">
        <v>54</v>
      </c>
      <c r="I11" s="3" t="s">
        <v>122</v>
      </c>
      <c r="J11" s="3" t="s">
        <v>123</v>
      </c>
      <c r="K11" s="3" t="s">
        <v>124</v>
      </c>
      <c r="L11" s="3" t="s">
        <v>125</v>
      </c>
      <c r="M11" s="3" t="s">
        <v>126</v>
      </c>
      <c r="N11" s="3"/>
      <c r="O11" s="3" t="s">
        <v>60</v>
      </c>
      <c r="P11" s="3" t="s">
        <v>33</v>
      </c>
      <c r="Q11" s="3"/>
      <c r="R11" s="3"/>
    </row>
    <row r="12" customFormat="false" ht="68.65" hidden="false" customHeight="false" outlineLevel="0" collapsed="false">
      <c r="A12" s="2" t="s">
        <v>127</v>
      </c>
      <c r="B12" s="2" t="s">
        <v>128</v>
      </c>
      <c r="C12" s="2" t="s">
        <v>129</v>
      </c>
      <c r="D12" s="2" t="s">
        <v>21</v>
      </c>
      <c r="E12" s="2" t="s">
        <v>22</v>
      </c>
      <c r="F12" s="2" t="s">
        <v>130</v>
      </c>
      <c r="G12" s="2" t="s">
        <v>131</v>
      </c>
      <c r="H12" s="2" t="s">
        <v>54</v>
      </c>
      <c r="I12" s="2" t="s">
        <v>132</v>
      </c>
      <c r="J12" s="2" t="s">
        <v>133</v>
      </c>
      <c r="K12" s="2" t="s">
        <v>134</v>
      </c>
      <c r="L12" s="2" t="s">
        <v>135</v>
      </c>
      <c r="M12" s="2" t="s">
        <v>136</v>
      </c>
      <c r="N12" s="2" t="s">
        <v>137</v>
      </c>
      <c r="O12" s="2" t="s">
        <v>32</v>
      </c>
      <c r="P12" s="2" t="s">
        <v>33</v>
      </c>
      <c r="Q12" s="2" t="s">
        <v>34</v>
      </c>
      <c r="R12" s="2" t="s">
        <v>35</v>
      </c>
    </row>
    <row r="13" customFormat="false" ht="102.2" hidden="false" customHeight="false" outlineLevel="0" collapsed="false">
      <c r="A13" s="3" t="s">
        <v>48</v>
      </c>
      <c r="B13" s="3" t="s">
        <v>49</v>
      </c>
      <c r="C13" s="3" t="s">
        <v>138</v>
      </c>
      <c r="D13" s="3" t="s">
        <v>21</v>
      </c>
      <c r="E13" s="3" t="s">
        <v>51</v>
      </c>
      <c r="F13" s="3" t="s">
        <v>139</v>
      </c>
      <c r="G13" s="3" t="s">
        <v>140</v>
      </c>
      <c r="H13" s="3" t="s">
        <v>25</v>
      </c>
      <c r="I13" s="3" t="s">
        <v>141</v>
      </c>
      <c r="J13" s="3" t="s">
        <v>142</v>
      </c>
      <c r="K13" s="3" t="s">
        <v>143</v>
      </c>
      <c r="L13" s="3" t="s">
        <v>144</v>
      </c>
      <c r="M13" s="3" t="s">
        <v>145</v>
      </c>
      <c r="N13" s="3" t="s">
        <v>146</v>
      </c>
      <c r="O13" s="3" t="s">
        <v>60</v>
      </c>
      <c r="P13" s="3" t="s">
        <v>33</v>
      </c>
      <c r="Q13" s="3"/>
      <c r="R13" s="3"/>
    </row>
    <row r="14" customFormat="false" ht="46.25" hidden="false" customHeight="false" outlineLevel="0" collapsed="false">
      <c r="A14" s="2" t="s">
        <v>147</v>
      </c>
      <c r="B14" s="2" t="s">
        <v>148</v>
      </c>
      <c r="C14" s="2" t="s">
        <v>149</v>
      </c>
      <c r="D14" s="2" t="s">
        <v>21</v>
      </c>
      <c r="E14" s="2" t="s">
        <v>22</v>
      </c>
      <c r="F14" s="2" t="s">
        <v>150</v>
      </c>
      <c r="G14" s="2" t="s">
        <v>151</v>
      </c>
      <c r="H14" s="2" t="s">
        <v>152</v>
      </c>
      <c r="I14" s="2" t="s">
        <v>153</v>
      </c>
      <c r="J14" s="2" t="s">
        <v>154</v>
      </c>
      <c r="K14" s="2" t="s">
        <v>155</v>
      </c>
      <c r="L14" s="2" t="s">
        <v>156</v>
      </c>
      <c r="M14" s="2" t="s">
        <v>157</v>
      </c>
      <c r="N14" s="2"/>
      <c r="O14" s="2" t="s">
        <v>32</v>
      </c>
      <c r="P14" s="2" t="s">
        <v>33</v>
      </c>
      <c r="Q14" s="2" t="s">
        <v>34</v>
      </c>
      <c r="R14" s="2" t="s">
        <v>35</v>
      </c>
    </row>
    <row r="15" customFormat="false" ht="57.45" hidden="false" customHeight="false" outlineLevel="0" collapsed="false">
      <c r="A15" s="3" t="s">
        <v>48</v>
      </c>
      <c r="B15" s="3" t="s">
        <v>49</v>
      </c>
      <c r="C15" s="3" t="s">
        <v>158</v>
      </c>
      <c r="D15" s="3" t="s">
        <v>21</v>
      </c>
      <c r="E15" s="3" t="s">
        <v>51</v>
      </c>
      <c r="F15" s="3" t="s">
        <v>150</v>
      </c>
      <c r="G15" s="3" t="s">
        <v>159</v>
      </c>
      <c r="H15" s="3" t="s">
        <v>152</v>
      </c>
      <c r="I15" s="3" t="s">
        <v>160</v>
      </c>
      <c r="J15" s="3" t="s">
        <v>161</v>
      </c>
      <c r="K15" s="3" t="s">
        <v>162</v>
      </c>
      <c r="L15" s="3" t="s">
        <v>163</v>
      </c>
      <c r="M15" s="3" t="s">
        <v>164</v>
      </c>
      <c r="N15" s="3" t="s">
        <v>165</v>
      </c>
      <c r="O15" s="3" t="s">
        <v>60</v>
      </c>
      <c r="P15" s="3" t="s">
        <v>33</v>
      </c>
      <c r="Q15" s="3"/>
      <c r="R15" s="3"/>
    </row>
    <row r="16" customFormat="false" ht="46.25" hidden="false" customHeight="false" outlineLevel="0" collapsed="false">
      <c r="A16" s="2" t="s">
        <v>166</v>
      </c>
      <c r="B16" s="2" t="s">
        <v>167</v>
      </c>
      <c r="C16" s="2" t="s">
        <v>168</v>
      </c>
      <c r="D16" s="2" t="s">
        <v>21</v>
      </c>
      <c r="E16" s="2" t="s">
        <v>22</v>
      </c>
      <c r="F16" s="2" t="s">
        <v>169</v>
      </c>
      <c r="G16" s="2" t="s">
        <v>170</v>
      </c>
      <c r="H16" s="2" t="s">
        <v>152</v>
      </c>
      <c r="I16" s="2" t="s">
        <v>171</v>
      </c>
      <c r="J16" s="2" t="s">
        <v>172</v>
      </c>
      <c r="K16" s="2" t="s">
        <v>173</v>
      </c>
      <c r="L16" s="2" t="s">
        <v>174</v>
      </c>
      <c r="M16" s="2" t="s">
        <v>175</v>
      </c>
      <c r="N16" s="2" t="s">
        <v>176</v>
      </c>
      <c r="O16" s="2" t="s">
        <v>32</v>
      </c>
      <c r="P16" s="2" t="s">
        <v>33</v>
      </c>
      <c r="Q16" s="2" t="s">
        <v>34</v>
      </c>
      <c r="R16" s="2" t="s">
        <v>35</v>
      </c>
    </row>
    <row r="17" customFormat="false" ht="57.45" hidden="false" customHeight="false" outlineLevel="0" collapsed="false">
      <c r="A17" s="2" t="s">
        <v>177</v>
      </c>
      <c r="B17" s="2" t="s">
        <v>178</v>
      </c>
      <c r="C17" s="2" t="s">
        <v>179</v>
      </c>
      <c r="D17" s="2" t="s">
        <v>21</v>
      </c>
      <c r="E17" s="2" t="s">
        <v>22</v>
      </c>
      <c r="F17" s="2" t="s">
        <v>150</v>
      </c>
      <c r="G17" s="2" t="s">
        <v>180</v>
      </c>
      <c r="H17" s="2" t="s">
        <v>152</v>
      </c>
      <c r="I17" s="2" t="s">
        <v>181</v>
      </c>
      <c r="J17" s="2" t="s">
        <v>182</v>
      </c>
      <c r="K17" s="2" t="s">
        <v>183</v>
      </c>
      <c r="L17" s="2" t="s">
        <v>184</v>
      </c>
      <c r="M17" s="2" t="s">
        <v>185</v>
      </c>
      <c r="N17" s="2"/>
      <c r="O17" s="2" t="s">
        <v>32</v>
      </c>
      <c r="P17" s="2" t="s">
        <v>33</v>
      </c>
      <c r="Q17" s="2" t="s">
        <v>34</v>
      </c>
      <c r="R17" s="2" t="s">
        <v>35</v>
      </c>
    </row>
    <row r="18" customFormat="false" ht="57.45" hidden="false" customHeight="false" outlineLevel="0" collapsed="false">
      <c r="A18" s="2" t="s">
        <v>186</v>
      </c>
      <c r="B18" s="2" t="s">
        <v>187</v>
      </c>
      <c r="C18" s="2" t="s">
        <v>188</v>
      </c>
      <c r="D18" s="2" t="s">
        <v>21</v>
      </c>
      <c r="E18" s="2" t="s">
        <v>22</v>
      </c>
      <c r="F18" s="2" t="s">
        <v>169</v>
      </c>
      <c r="G18" s="2" t="s">
        <v>189</v>
      </c>
      <c r="H18" s="2" t="s">
        <v>54</v>
      </c>
      <c r="I18" s="2" t="s">
        <v>190</v>
      </c>
      <c r="J18" s="2" t="s">
        <v>191</v>
      </c>
      <c r="K18" s="2" t="s">
        <v>192</v>
      </c>
      <c r="L18" s="2" t="s">
        <v>193</v>
      </c>
      <c r="M18" s="2" t="s">
        <v>194</v>
      </c>
      <c r="N18" s="2" t="s">
        <v>195</v>
      </c>
      <c r="O18" s="2" t="s">
        <v>32</v>
      </c>
      <c r="P18" s="2" t="s">
        <v>33</v>
      </c>
      <c r="Q18" s="2" t="s">
        <v>34</v>
      </c>
      <c r="R18" s="2" t="s">
        <v>35</v>
      </c>
    </row>
    <row r="19" customFormat="false" ht="46.25" hidden="false" customHeight="false" outlineLevel="0" collapsed="false">
      <c r="A19" s="2" t="s">
        <v>196</v>
      </c>
      <c r="B19" s="2" t="s">
        <v>197</v>
      </c>
      <c r="C19" s="2" t="s">
        <v>198</v>
      </c>
      <c r="D19" s="2" t="s">
        <v>21</v>
      </c>
      <c r="E19" s="2" t="s">
        <v>22</v>
      </c>
      <c r="F19" s="2" t="s">
        <v>150</v>
      </c>
      <c r="G19" s="2" t="s">
        <v>199</v>
      </c>
      <c r="H19" s="2" t="s">
        <v>152</v>
      </c>
      <c r="I19" s="2" t="s">
        <v>200</v>
      </c>
      <c r="J19" s="2" t="s">
        <v>201</v>
      </c>
      <c r="K19" s="2" t="s">
        <v>202</v>
      </c>
      <c r="L19" s="2" t="s">
        <v>203</v>
      </c>
      <c r="M19" s="2" t="s">
        <v>204</v>
      </c>
      <c r="N19" s="2"/>
      <c r="O19" s="2" t="s">
        <v>32</v>
      </c>
      <c r="P19" s="2" t="s">
        <v>33</v>
      </c>
      <c r="Q19" s="2" t="s">
        <v>34</v>
      </c>
      <c r="R19" s="2" t="s">
        <v>35</v>
      </c>
    </row>
    <row r="20" customFormat="false" ht="46.25" hidden="false" customHeight="false" outlineLevel="0" collapsed="false">
      <c r="A20" s="2" t="s">
        <v>205</v>
      </c>
      <c r="B20" s="2" t="s">
        <v>206</v>
      </c>
      <c r="C20" s="2" t="s">
        <v>207</v>
      </c>
      <c r="D20" s="2" t="s">
        <v>21</v>
      </c>
      <c r="E20" s="2" t="s">
        <v>22</v>
      </c>
      <c r="F20" s="2" t="s">
        <v>208</v>
      </c>
      <c r="G20" s="2" t="s">
        <v>209</v>
      </c>
      <c r="H20" s="2" t="s">
        <v>152</v>
      </c>
      <c r="I20" s="2" t="s">
        <v>210</v>
      </c>
      <c r="J20" s="2" t="s">
        <v>211</v>
      </c>
      <c r="K20" s="2" t="s">
        <v>212</v>
      </c>
      <c r="L20" s="2" t="s">
        <v>213</v>
      </c>
      <c r="M20" s="2" t="s">
        <v>214</v>
      </c>
      <c r="N20" s="2"/>
      <c r="O20" s="2" t="s">
        <v>32</v>
      </c>
      <c r="P20" s="2" t="s">
        <v>33</v>
      </c>
      <c r="Q20" s="2" t="s">
        <v>34</v>
      </c>
      <c r="R20" s="2" t="s">
        <v>35</v>
      </c>
    </row>
    <row r="21" customFormat="false" ht="23.85" hidden="false" customHeight="false" outlineLevel="0" collapsed="false">
      <c r="A21" s="3" t="s">
        <v>48</v>
      </c>
      <c r="B21" s="3" t="s">
        <v>49</v>
      </c>
      <c r="C21" s="3" t="s">
        <v>215</v>
      </c>
      <c r="D21" s="3" t="s">
        <v>21</v>
      </c>
      <c r="E21" s="3" t="s">
        <v>51</v>
      </c>
      <c r="F21" s="3" t="s">
        <v>150</v>
      </c>
      <c r="G21" s="3" t="s">
        <v>216</v>
      </c>
      <c r="H21" s="3" t="s">
        <v>152</v>
      </c>
      <c r="I21" s="3" t="s">
        <v>217</v>
      </c>
      <c r="J21" s="3" t="s">
        <v>218</v>
      </c>
      <c r="K21" s="3" t="s">
        <v>219</v>
      </c>
      <c r="L21" s="3" t="s">
        <v>220</v>
      </c>
      <c r="M21" s="3" t="s">
        <v>221</v>
      </c>
      <c r="N21" s="3"/>
      <c r="O21" s="3" t="s">
        <v>60</v>
      </c>
      <c r="P21" s="3" t="s">
        <v>33</v>
      </c>
      <c r="Q21" s="3"/>
      <c r="R21" s="3"/>
    </row>
    <row r="22" customFormat="false" ht="23.85" hidden="false" customHeight="false" outlineLevel="0" collapsed="false">
      <c r="A22" s="3" t="s">
        <v>48</v>
      </c>
      <c r="B22" s="3" t="s">
        <v>49</v>
      </c>
      <c r="C22" s="3" t="s">
        <v>222</v>
      </c>
      <c r="D22" s="3" t="s">
        <v>21</v>
      </c>
      <c r="E22" s="3" t="s">
        <v>51</v>
      </c>
      <c r="F22" s="3" t="s">
        <v>150</v>
      </c>
      <c r="G22" s="3" t="s">
        <v>223</v>
      </c>
      <c r="H22" s="3" t="s">
        <v>152</v>
      </c>
      <c r="I22" s="3" t="s">
        <v>224</v>
      </c>
      <c r="J22" s="3" t="s">
        <v>225</v>
      </c>
      <c r="K22" s="3" t="s">
        <v>226</v>
      </c>
      <c r="L22" s="3" t="s">
        <v>227</v>
      </c>
      <c r="M22" s="3" t="s">
        <v>228</v>
      </c>
      <c r="N22" s="3"/>
      <c r="O22" s="3" t="s">
        <v>60</v>
      </c>
      <c r="P22" s="3" t="s">
        <v>33</v>
      </c>
      <c r="Q22" s="3"/>
      <c r="R22" s="3"/>
    </row>
  </sheetData>
  <autoFilter ref="A1:R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40"/>
    <col collapsed="false" customWidth="true" hidden="false" outlineLevel="0" max="4" min="4" style="0" width="12"/>
    <col collapsed="false" customWidth="true" hidden="false" outlineLevel="0" max="5" min="5" style="0" width="13"/>
    <col collapsed="false" customWidth="true" hidden="false" outlineLevel="0" max="6" min="6" style="0" width="28"/>
    <col collapsed="false" customWidth="true" hidden="false" outlineLevel="0" max="7" min="7" style="0" width="34"/>
    <col collapsed="false" customWidth="true" hidden="false" outlineLevel="0" max="8" min="8" style="0" width="11"/>
    <col collapsed="false" customWidth="true" hidden="false" outlineLevel="0" max="9" min="9" style="0" width="60"/>
    <col collapsed="false" customWidth="true" hidden="false" outlineLevel="0" max="10" min="10" style="0" width="55"/>
    <col collapsed="false" customWidth="true" hidden="false" outlineLevel="0" max="11" min="11" style="0" width="40"/>
    <col collapsed="false" customWidth="true" hidden="false" outlineLevel="0" max="12" min="12" style="0" width="38"/>
    <col collapsed="false" customWidth="true" hidden="false" outlineLevel="0" max="13" min="13" style="0" width="65"/>
    <col collapsed="false" customWidth="true" hidden="false" outlineLevel="0" max="14" min="14" style="0" width="40"/>
    <col collapsed="false" customWidth="true" hidden="false" outlineLevel="0" max="15" min="15" style="0" width="14"/>
    <col collapsed="false" customWidth="true" hidden="false" outlineLevel="0" max="16" min="16" style="0" width="18"/>
    <col collapsed="false" customWidth="true" hidden="false" outlineLevel="0" max="18" min="17"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46.25" hidden="false" customHeight="false" outlineLevel="0" collapsed="false">
      <c r="A2" s="3" t="s">
        <v>48</v>
      </c>
      <c r="B2" s="3" t="s">
        <v>49</v>
      </c>
      <c r="C2" s="3" t="s">
        <v>229</v>
      </c>
      <c r="D2" s="3" t="s">
        <v>230</v>
      </c>
      <c r="E2" s="3" t="s">
        <v>51</v>
      </c>
      <c r="F2" s="3" t="s">
        <v>231</v>
      </c>
      <c r="G2" s="3" t="s">
        <v>232</v>
      </c>
      <c r="H2" s="3" t="s">
        <v>152</v>
      </c>
      <c r="I2" s="3" t="s">
        <v>233</v>
      </c>
      <c r="J2" s="3" t="s">
        <v>234</v>
      </c>
      <c r="K2" s="3" t="s">
        <v>235</v>
      </c>
      <c r="L2" s="3" t="s">
        <v>236</v>
      </c>
      <c r="M2" s="3" t="s">
        <v>237</v>
      </c>
      <c r="N2" s="3" t="s">
        <v>238</v>
      </c>
      <c r="O2" s="3" t="s">
        <v>60</v>
      </c>
      <c r="P2" s="3" t="s">
        <v>33</v>
      </c>
      <c r="Q2" s="3"/>
      <c r="R2" s="3"/>
    </row>
    <row r="3" customFormat="false" ht="46.25" hidden="false" customHeight="false" outlineLevel="0" collapsed="false">
      <c r="A3" s="2" t="s">
        <v>239</v>
      </c>
      <c r="B3" s="2" t="s">
        <v>240</v>
      </c>
      <c r="C3" s="2" t="s">
        <v>241</v>
      </c>
      <c r="D3" s="2" t="s">
        <v>230</v>
      </c>
      <c r="E3" s="2" t="s">
        <v>22</v>
      </c>
      <c r="F3" s="2" t="s">
        <v>242</v>
      </c>
      <c r="G3" s="2" t="s">
        <v>243</v>
      </c>
      <c r="H3" s="2" t="s">
        <v>54</v>
      </c>
      <c r="I3" s="2" t="s">
        <v>244</v>
      </c>
      <c r="J3" s="2" t="s">
        <v>245</v>
      </c>
      <c r="K3" s="2" t="s">
        <v>246</v>
      </c>
      <c r="L3" s="2" t="s">
        <v>247</v>
      </c>
      <c r="M3" s="2" t="s">
        <v>248</v>
      </c>
      <c r="N3" s="2" t="s">
        <v>195</v>
      </c>
      <c r="O3" s="2" t="s">
        <v>32</v>
      </c>
      <c r="P3" s="2" t="s">
        <v>33</v>
      </c>
      <c r="Q3" s="2" t="s">
        <v>34</v>
      </c>
      <c r="R3" s="2" t="s">
        <v>35</v>
      </c>
    </row>
    <row r="4" customFormat="false" ht="35.05" hidden="false" customHeight="false" outlineLevel="0" collapsed="false">
      <c r="A4" s="3" t="s">
        <v>48</v>
      </c>
      <c r="B4" s="3" t="s">
        <v>49</v>
      </c>
      <c r="C4" s="3" t="s">
        <v>249</v>
      </c>
      <c r="D4" s="3" t="s">
        <v>230</v>
      </c>
      <c r="E4" s="3" t="s">
        <v>51</v>
      </c>
      <c r="F4" s="3" t="s">
        <v>250</v>
      </c>
      <c r="G4" s="3" t="s">
        <v>251</v>
      </c>
      <c r="H4" s="3" t="s">
        <v>54</v>
      </c>
      <c r="I4" s="3" t="s">
        <v>252</v>
      </c>
      <c r="J4" s="3" t="s">
        <v>253</v>
      </c>
      <c r="K4" s="3" t="s">
        <v>254</v>
      </c>
      <c r="L4" s="3" t="s">
        <v>255</v>
      </c>
      <c r="M4" s="3" t="s">
        <v>256</v>
      </c>
      <c r="N4" s="3"/>
      <c r="O4" s="3" t="s">
        <v>60</v>
      </c>
      <c r="P4" s="3" t="s">
        <v>33</v>
      </c>
      <c r="Q4" s="3"/>
      <c r="R4" s="3"/>
    </row>
    <row r="5" customFormat="false" ht="35.05" hidden="false" customHeight="false" outlineLevel="0" collapsed="false">
      <c r="A5" s="3" t="s">
        <v>48</v>
      </c>
      <c r="B5" s="3" t="s">
        <v>49</v>
      </c>
      <c r="C5" s="3" t="s">
        <v>257</v>
      </c>
      <c r="D5" s="3" t="s">
        <v>230</v>
      </c>
      <c r="E5" s="3" t="s">
        <v>51</v>
      </c>
      <c r="F5" s="3" t="s">
        <v>258</v>
      </c>
      <c r="G5" s="3" t="s">
        <v>259</v>
      </c>
      <c r="H5" s="3" t="s">
        <v>54</v>
      </c>
      <c r="I5" s="3" t="s">
        <v>260</v>
      </c>
      <c r="J5" s="3" t="s">
        <v>261</v>
      </c>
      <c r="K5" s="3" t="s">
        <v>262</v>
      </c>
      <c r="L5" s="3" t="s">
        <v>263</v>
      </c>
      <c r="M5" s="3" t="s">
        <v>264</v>
      </c>
      <c r="N5" s="3"/>
      <c r="O5" s="3" t="s">
        <v>60</v>
      </c>
      <c r="P5" s="3" t="s">
        <v>33</v>
      </c>
      <c r="Q5" s="3"/>
      <c r="R5" s="3"/>
    </row>
    <row r="6" customFormat="false" ht="35.05" hidden="false" customHeight="false" outlineLevel="0" collapsed="false">
      <c r="A6" s="3" t="s">
        <v>48</v>
      </c>
      <c r="B6" s="3" t="s">
        <v>49</v>
      </c>
      <c r="C6" s="3" t="s">
        <v>265</v>
      </c>
      <c r="D6" s="3" t="s">
        <v>230</v>
      </c>
      <c r="E6" s="3" t="s">
        <v>51</v>
      </c>
      <c r="F6" s="3" t="s">
        <v>266</v>
      </c>
      <c r="G6" s="3" t="s">
        <v>267</v>
      </c>
      <c r="H6" s="3" t="s">
        <v>54</v>
      </c>
      <c r="I6" s="3" t="s">
        <v>268</v>
      </c>
      <c r="J6" s="3" t="s">
        <v>269</v>
      </c>
      <c r="K6" s="3" t="s">
        <v>270</v>
      </c>
      <c r="L6" s="3" t="s">
        <v>271</v>
      </c>
      <c r="M6" s="3" t="s">
        <v>272</v>
      </c>
      <c r="N6" s="3"/>
      <c r="O6" s="3" t="s">
        <v>60</v>
      </c>
      <c r="P6" s="3" t="s">
        <v>33</v>
      </c>
      <c r="Q6" s="3"/>
      <c r="R6" s="3"/>
    </row>
    <row r="7" customFormat="false" ht="57.45" hidden="false" customHeight="false" outlineLevel="0" collapsed="false">
      <c r="A7" s="2" t="s">
        <v>273</v>
      </c>
      <c r="B7" s="2" t="s">
        <v>274</v>
      </c>
      <c r="C7" s="2" t="s">
        <v>275</v>
      </c>
      <c r="D7" s="2" t="s">
        <v>230</v>
      </c>
      <c r="E7" s="2" t="s">
        <v>22</v>
      </c>
      <c r="F7" s="2" t="s">
        <v>100</v>
      </c>
      <c r="G7" s="2" t="s">
        <v>276</v>
      </c>
      <c r="H7" s="2" t="s">
        <v>25</v>
      </c>
      <c r="I7" s="2" t="s">
        <v>277</v>
      </c>
      <c r="J7" s="2" t="s">
        <v>278</v>
      </c>
      <c r="K7" s="2" t="s">
        <v>279</v>
      </c>
      <c r="L7" s="2" t="s">
        <v>280</v>
      </c>
      <c r="M7" s="2" t="s">
        <v>281</v>
      </c>
      <c r="N7" s="2"/>
      <c r="O7" s="2" t="s">
        <v>32</v>
      </c>
      <c r="P7" s="2" t="s">
        <v>33</v>
      </c>
      <c r="Q7" s="2" t="s">
        <v>34</v>
      </c>
      <c r="R7" s="2" t="s">
        <v>35</v>
      </c>
    </row>
    <row r="8" customFormat="false" ht="35.05" hidden="false" customHeight="false" outlineLevel="0" collapsed="false">
      <c r="A8" s="2" t="s">
        <v>282</v>
      </c>
      <c r="B8" s="2" t="s">
        <v>283</v>
      </c>
      <c r="C8" s="2" t="s">
        <v>284</v>
      </c>
      <c r="D8" s="2" t="s">
        <v>230</v>
      </c>
      <c r="E8" s="2" t="s">
        <v>22</v>
      </c>
      <c r="F8" s="2" t="s">
        <v>285</v>
      </c>
      <c r="G8" s="2" t="s">
        <v>286</v>
      </c>
      <c r="H8" s="2" t="s">
        <v>54</v>
      </c>
      <c r="I8" s="2" t="s">
        <v>287</v>
      </c>
      <c r="J8" s="2" t="s">
        <v>288</v>
      </c>
      <c r="K8" s="2" t="s">
        <v>289</v>
      </c>
      <c r="L8" s="2" t="s">
        <v>290</v>
      </c>
      <c r="M8" s="2" t="s">
        <v>291</v>
      </c>
      <c r="N8" s="2"/>
      <c r="O8" s="2" t="s">
        <v>32</v>
      </c>
      <c r="P8" s="2" t="s">
        <v>33</v>
      </c>
      <c r="Q8" s="2" t="s">
        <v>34</v>
      </c>
      <c r="R8" s="2" t="s">
        <v>35</v>
      </c>
    </row>
    <row r="9" customFormat="false" ht="57.45" hidden="false" customHeight="false" outlineLevel="0" collapsed="false">
      <c r="A9" s="3" t="s">
        <v>48</v>
      </c>
      <c r="B9" s="3" t="s">
        <v>49</v>
      </c>
      <c r="C9" s="3" t="s">
        <v>292</v>
      </c>
      <c r="D9" s="3" t="s">
        <v>230</v>
      </c>
      <c r="E9" s="3" t="s">
        <v>51</v>
      </c>
      <c r="F9" s="3" t="s">
        <v>293</v>
      </c>
      <c r="G9" s="3" t="s">
        <v>294</v>
      </c>
      <c r="H9" s="3" t="s">
        <v>25</v>
      </c>
      <c r="I9" s="3" t="s">
        <v>295</v>
      </c>
      <c r="J9" s="3" t="s">
        <v>296</v>
      </c>
      <c r="K9" s="3" t="s">
        <v>297</v>
      </c>
      <c r="L9" s="3" t="s">
        <v>298</v>
      </c>
      <c r="M9" s="3" t="s">
        <v>299</v>
      </c>
      <c r="N9" s="3"/>
      <c r="O9" s="3" t="s">
        <v>60</v>
      </c>
      <c r="P9" s="3" t="s">
        <v>33</v>
      </c>
      <c r="Q9" s="3"/>
      <c r="R9" s="3"/>
    </row>
    <row r="10" customFormat="false" ht="35.05" hidden="false" customHeight="false" outlineLevel="0" collapsed="false">
      <c r="A10" s="2" t="s">
        <v>300</v>
      </c>
      <c r="B10" s="2" t="s">
        <v>301</v>
      </c>
      <c r="C10" s="2" t="s">
        <v>302</v>
      </c>
      <c r="D10" s="2" t="s">
        <v>230</v>
      </c>
      <c r="E10" s="2" t="s">
        <v>22</v>
      </c>
      <c r="F10" s="2" t="s">
        <v>303</v>
      </c>
      <c r="G10" s="2" t="s">
        <v>304</v>
      </c>
      <c r="H10" s="2" t="s">
        <v>152</v>
      </c>
      <c r="I10" s="2" t="s">
        <v>305</v>
      </c>
      <c r="J10" s="2" t="s">
        <v>306</v>
      </c>
      <c r="K10" s="2" t="s">
        <v>307</v>
      </c>
      <c r="L10" s="2" t="s">
        <v>308</v>
      </c>
      <c r="M10" s="2" t="s">
        <v>309</v>
      </c>
      <c r="N10" s="2"/>
      <c r="O10" s="2" t="s">
        <v>32</v>
      </c>
      <c r="P10" s="2" t="s">
        <v>33</v>
      </c>
      <c r="Q10" s="2" t="s">
        <v>34</v>
      </c>
      <c r="R10" s="2" t="s">
        <v>35</v>
      </c>
    </row>
    <row r="11" customFormat="false" ht="35.05" hidden="false" customHeight="false" outlineLevel="0" collapsed="false">
      <c r="A11" s="3" t="s">
        <v>48</v>
      </c>
      <c r="B11" s="3" t="s">
        <v>49</v>
      </c>
      <c r="C11" s="3" t="s">
        <v>310</v>
      </c>
      <c r="D11" s="3" t="s">
        <v>230</v>
      </c>
      <c r="E11" s="3" t="s">
        <v>51</v>
      </c>
      <c r="F11" s="3" t="s">
        <v>311</v>
      </c>
      <c r="G11" s="3" t="s">
        <v>312</v>
      </c>
      <c r="H11" s="3" t="s">
        <v>54</v>
      </c>
      <c r="I11" s="3" t="s">
        <v>313</v>
      </c>
      <c r="J11" s="3" t="s">
        <v>314</v>
      </c>
      <c r="K11" s="3" t="s">
        <v>315</v>
      </c>
      <c r="L11" s="3" t="s">
        <v>316</v>
      </c>
      <c r="M11" s="3" t="s">
        <v>317</v>
      </c>
      <c r="N11" s="3"/>
      <c r="O11" s="3" t="s">
        <v>60</v>
      </c>
      <c r="P11" s="3" t="s">
        <v>33</v>
      </c>
      <c r="Q11" s="3"/>
      <c r="R11" s="3"/>
    </row>
    <row r="12" customFormat="false" ht="35.05" hidden="false" customHeight="false" outlineLevel="0" collapsed="false">
      <c r="A12" s="3" t="s">
        <v>48</v>
      </c>
      <c r="B12" s="3" t="s">
        <v>49</v>
      </c>
      <c r="C12" s="3" t="s">
        <v>318</v>
      </c>
      <c r="D12" s="3" t="s">
        <v>230</v>
      </c>
      <c r="E12" s="3" t="s">
        <v>51</v>
      </c>
      <c r="F12" s="3" t="s">
        <v>319</v>
      </c>
      <c r="G12" s="3" t="s">
        <v>320</v>
      </c>
      <c r="H12" s="3" t="s">
        <v>54</v>
      </c>
      <c r="I12" s="3" t="s">
        <v>321</v>
      </c>
      <c r="J12" s="3" t="s">
        <v>322</v>
      </c>
      <c r="K12" s="3" t="s">
        <v>323</v>
      </c>
      <c r="L12" s="3" t="s">
        <v>324</v>
      </c>
      <c r="M12" s="3" t="s">
        <v>325</v>
      </c>
      <c r="N12" s="3"/>
      <c r="O12" s="3" t="s">
        <v>60</v>
      </c>
      <c r="P12" s="3" t="s">
        <v>33</v>
      </c>
      <c r="Q12" s="3"/>
      <c r="R12" s="3"/>
    </row>
    <row r="13" customFormat="false" ht="35.05" hidden="false" customHeight="false" outlineLevel="0" collapsed="false">
      <c r="A13" s="3" t="s">
        <v>48</v>
      </c>
      <c r="B13" s="3" t="s">
        <v>49</v>
      </c>
      <c r="C13" s="3" t="s">
        <v>326</v>
      </c>
      <c r="D13" s="3" t="s">
        <v>230</v>
      </c>
      <c r="E13" s="3" t="s">
        <v>51</v>
      </c>
      <c r="F13" s="3" t="s">
        <v>327</v>
      </c>
      <c r="G13" s="3" t="s">
        <v>328</v>
      </c>
      <c r="H13" s="3" t="s">
        <v>54</v>
      </c>
      <c r="I13" s="3" t="s">
        <v>329</v>
      </c>
      <c r="J13" s="3" t="s">
        <v>330</v>
      </c>
      <c r="K13" s="3" t="s">
        <v>331</v>
      </c>
      <c r="L13" s="3" t="s">
        <v>332</v>
      </c>
      <c r="M13" s="3" t="s">
        <v>333</v>
      </c>
      <c r="N13" s="3" t="s">
        <v>334</v>
      </c>
      <c r="O13" s="3" t="s">
        <v>60</v>
      </c>
      <c r="P13" s="3" t="s">
        <v>33</v>
      </c>
      <c r="Q13" s="3"/>
      <c r="R13" s="3"/>
    </row>
    <row r="14" customFormat="false" ht="46.25" hidden="false" customHeight="false" outlineLevel="0" collapsed="false">
      <c r="A14" s="3" t="s">
        <v>48</v>
      </c>
      <c r="B14" s="3" t="s">
        <v>49</v>
      </c>
      <c r="C14" s="3" t="s">
        <v>335</v>
      </c>
      <c r="D14" s="3" t="s">
        <v>230</v>
      </c>
      <c r="E14" s="3" t="s">
        <v>51</v>
      </c>
      <c r="F14" s="3" t="s">
        <v>336</v>
      </c>
      <c r="G14" s="3" t="s">
        <v>337</v>
      </c>
      <c r="H14" s="3" t="s">
        <v>54</v>
      </c>
      <c r="I14" s="3" t="s">
        <v>338</v>
      </c>
      <c r="J14" s="3" t="s">
        <v>339</v>
      </c>
      <c r="K14" s="3" t="s">
        <v>340</v>
      </c>
      <c r="L14" s="3" t="s">
        <v>341</v>
      </c>
      <c r="M14" s="3" t="s">
        <v>342</v>
      </c>
      <c r="N14" s="3" t="s">
        <v>343</v>
      </c>
      <c r="O14" s="3" t="s">
        <v>60</v>
      </c>
      <c r="P14" s="3" t="s">
        <v>33</v>
      </c>
      <c r="Q14" s="3"/>
      <c r="R14" s="3"/>
    </row>
  </sheetData>
  <autoFilter ref="A1:R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75"/>
  </cols>
  <sheetData>
    <row r="1" customFormat="false" ht="30" hidden="false" customHeight="true" outlineLevel="0" collapsed="false">
      <c r="A1" s="1" t="s">
        <v>5</v>
      </c>
      <c r="B1" s="1" t="s">
        <v>344</v>
      </c>
      <c r="C1" s="1" t="s">
        <v>345</v>
      </c>
    </row>
    <row r="2" customFormat="false" ht="15" hidden="false" customHeight="false" outlineLevel="0" collapsed="false">
      <c r="A2" s="2" t="s">
        <v>336</v>
      </c>
      <c r="B2" s="2" t="s">
        <v>346</v>
      </c>
      <c r="C2" s="2" t="s">
        <v>347</v>
      </c>
    </row>
    <row r="3" customFormat="false" ht="15" hidden="false" customHeight="false" outlineLevel="0" collapsed="false">
      <c r="A3" s="2" t="s">
        <v>336</v>
      </c>
      <c r="B3" s="2" t="s">
        <v>348</v>
      </c>
      <c r="C3" s="2" t="s">
        <v>349</v>
      </c>
    </row>
    <row r="4" customFormat="false" ht="15" hidden="false" customHeight="false" outlineLevel="0" collapsed="false">
      <c r="A4" s="2" t="s">
        <v>336</v>
      </c>
      <c r="B4" s="2" t="s">
        <v>350</v>
      </c>
      <c r="C4" s="2" t="s">
        <v>351</v>
      </c>
    </row>
    <row r="5" customFormat="false" ht="15" hidden="false" customHeight="false" outlineLevel="0" collapsed="false">
      <c r="A5" s="2" t="s">
        <v>352</v>
      </c>
      <c r="B5" s="2" t="s">
        <v>353</v>
      </c>
      <c r="C5" s="2" t="s">
        <v>354</v>
      </c>
    </row>
    <row r="6" customFormat="false" ht="15" hidden="false" customHeight="false" outlineLevel="0" collapsed="false">
      <c r="A6" s="2" t="s">
        <v>352</v>
      </c>
      <c r="B6" s="2" t="s">
        <v>355</v>
      </c>
      <c r="C6" s="2" t="s">
        <v>356</v>
      </c>
    </row>
    <row r="7" customFormat="false" ht="15" hidden="false" customHeight="false" outlineLevel="0" collapsed="false">
      <c r="A7" s="2" t="s">
        <v>352</v>
      </c>
      <c r="B7" s="2" t="s">
        <v>357</v>
      </c>
      <c r="C7" s="2" t="s">
        <v>349</v>
      </c>
    </row>
    <row r="8" customFormat="false" ht="15" hidden="false" customHeight="false" outlineLevel="0" collapsed="false">
      <c r="A8" s="2" t="s">
        <v>111</v>
      </c>
      <c r="B8" s="2" t="s">
        <v>358</v>
      </c>
      <c r="C8" s="2" t="s">
        <v>110</v>
      </c>
    </row>
    <row r="9" customFormat="false" ht="15" hidden="false" customHeight="false" outlineLevel="0" collapsed="false">
      <c r="A9" s="2" t="s">
        <v>111</v>
      </c>
      <c r="B9" s="2" t="s">
        <v>359</v>
      </c>
      <c r="C9" s="2" t="s">
        <v>360</v>
      </c>
    </row>
    <row r="10" customFormat="false" ht="15" hidden="false" customHeight="false" outlineLevel="0" collapsed="false">
      <c r="A10" s="2" t="s">
        <v>361</v>
      </c>
      <c r="B10" s="2" t="s">
        <v>362</v>
      </c>
      <c r="C10" s="2" t="s">
        <v>363</v>
      </c>
    </row>
    <row r="11" customFormat="false" ht="15" hidden="false" customHeight="false" outlineLevel="0" collapsed="false">
      <c r="A11" s="2" t="s">
        <v>361</v>
      </c>
      <c r="B11" s="2" t="s">
        <v>364</v>
      </c>
      <c r="C11" s="2" t="s">
        <v>365</v>
      </c>
    </row>
    <row r="12" customFormat="false" ht="15" hidden="false" customHeight="false" outlineLevel="0" collapsed="false">
      <c r="A12" s="2" t="s">
        <v>361</v>
      </c>
      <c r="B12" s="2" t="s">
        <v>366</v>
      </c>
      <c r="C12" s="2" t="s">
        <v>367</v>
      </c>
    </row>
    <row r="13" customFormat="false" ht="15" hidden="false" customHeight="false" outlineLevel="0" collapsed="false">
      <c r="A13" s="2" t="s">
        <v>150</v>
      </c>
      <c r="B13" s="2" t="s">
        <v>368</v>
      </c>
      <c r="C13" s="2" t="s">
        <v>369</v>
      </c>
    </row>
    <row r="14" customFormat="false" ht="15" hidden="false" customHeight="false" outlineLevel="0" collapsed="false">
      <c r="A14" s="2" t="s">
        <v>150</v>
      </c>
      <c r="B14" s="2" t="s">
        <v>370</v>
      </c>
      <c r="C14" s="2" t="s">
        <v>149</v>
      </c>
    </row>
    <row r="15" customFormat="false" ht="15" hidden="false" customHeight="false" outlineLevel="0" collapsed="false">
      <c r="A15" s="2" t="s">
        <v>150</v>
      </c>
      <c r="B15" s="2" t="s">
        <v>371</v>
      </c>
      <c r="C15" s="2" t="s">
        <v>372</v>
      </c>
    </row>
    <row r="16" customFormat="false" ht="15" hidden="false" customHeight="false" outlineLevel="0" collapsed="false">
      <c r="A16" s="2" t="s">
        <v>150</v>
      </c>
      <c r="B16" s="2" t="s">
        <v>373</v>
      </c>
      <c r="C16" s="2" t="s">
        <v>374</v>
      </c>
    </row>
    <row r="17" customFormat="false" ht="15" hidden="false" customHeight="false" outlineLevel="0" collapsed="false">
      <c r="A17" s="2" t="s">
        <v>150</v>
      </c>
      <c r="B17" s="2" t="s">
        <v>375</v>
      </c>
      <c r="C17" s="2" t="s">
        <v>376</v>
      </c>
    </row>
    <row r="18" customFormat="false" ht="15" hidden="false" customHeight="false" outlineLevel="0" collapsed="false">
      <c r="A18" s="2" t="s">
        <v>150</v>
      </c>
      <c r="B18" s="2" t="s">
        <v>377</v>
      </c>
      <c r="C18" s="2" t="s">
        <v>378</v>
      </c>
    </row>
    <row r="19" customFormat="false" ht="15" hidden="false" customHeight="false" outlineLevel="0" collapsed="false">
      <c r="A19" s="2" t="s">
        <v>150</v>
      </c>
      <c r="B19" s="2" t="s">
        <v>379</v>
      </c>
      <c r="C19" s="2" t="s">
        <v>380</v>
      </c>
    </row>
    <row r="20" customFormat="false" ht="15" hidden="false" customHeight="false" outlineLevel="0" collapsed="false">
      <c r="A20" s="2" t="s">
        <v>150</v>
      </c>
      <c r="B20" s="2" t="s">
        <v>381</v>
      </c>
      <c r="C20" s="2" t="s">
        <v>382</v>
      </c>
    </row>
    <row r="21" customFormat="false" ht="15" hidden="false" customHeight="false" outlineLevel="0" collapsed="false">
      <c r="A21" s="2" t="s">
        <v>242</v>
      </c>
      <c r="B21" s="2" t="s">
        <v>383</v>
      </c>
      <c r="C21" s="2" t="s">
        <v>363</v>
      </c>
    </row>
    <row r="22" customFormat="false" ht="15" hidden="false" customHeight="false" outlineLevel="0" collapsed="false">
      <c r="A22" s="2" t="s">
        <v>242</v>
      </c>
      <c r="B22" s="2" t="s">
        <v>384</v>
      </c>
      <c r="C22" s="2" t="s">
        <v>385</v>
      </c>
    </row>
    <row r="23" customFormat="false" ht="15" hidden="false" customHeight="false" outlineLevel="0" collapsed="false">
      <c r="A23" s="2" t="s">
        <v>386</v>
      </c>
      <c r="B23" s="2" t="s">
        <v>387</v>
      </c>
      <c r="C23" s="2" t="s">
        <v>119</v>
      </c>
    </row>
    <row r="24" customFormat="false" ht="23.85" hidden="false" customHeight="false" outlineLevel="0" collapsed="false">
      <c r="A24" s="2" t="s">
        <v>90</v>
      </c>
      <c r="B24" s="2" t="s">
        <v>388</v>
      </c>
      <c r="C24" s="2" t="s">
        <v>389</v>
      </c>
    </row>
    <row r="25" customFormat="false" ht="15" hidden="false" customHeight="false" outlineLevel="0" collapsed="false">
      <c r="A25" s="2" t="s">
        <v>90</v>
      </c>
      <c r="B25" s="2" t="s">
        <v>390</v>
      </c>
      <c r="C25" s="2" t="s">
        <v>391</v>
      </c>
    </row>
    <row r="26" customFormat="false" ht="15" hidden="false" customHeight="false" outlineLevel="0" collapsed="false">
      <c r="A26" s="2" t="s">
        <v>62</v>
      </c>
      <c r="B26" s="2" t="s">
        <v>392</v>
      </c>
      <c r="C26" s="2" t="s">
        <v>61</v>
      </c>
    </row>
    <row r="27" customFormat="false" ht="15" hidden="false" customHeight="false" outlineLevel="0" collapsed="false">
      <c r="A27" s="2" t="s">
        <v>62</v>
      </c>
      <c r="B27" s="2" t="s">
        <v>393</v>
      </c>
      <c r="C27" s="2" t="s">
        <v>394</v>
      </c>
    </row>
    <row r="28" customFormat="false" ht="15" hidden="false" customHeight="false" outlineLevel="0" collapsed="false">
      <c r="A28" s="2" t="s">
        <v>395</v>
      </c>
      <c r="B28" s="2" t="s">
        <v>396</v>
      </c>
      <c r="C28" s="2" t="s">
        <v>360</v>
      </c>
    </row>
    <row r="29" customFormat="false" ht="15" hidden="false" customHeight="false" outlineLevel="0" collapsed="false">
      <c r="A29" s="2" t="s">
        <v>395</v>
      </c>
      <c r="B29" s="2" t="s">
        <v>397</v>
      </c>
      <c r="C29" s="2" t="s">
        <v>398</v>
      </c>
    </row>
    <row r="30" customFormat="false" ht="15" hidden="false" customHeight="false" outlineLevel="0" collapsed="false">
      <c r="A30" s="2" t="s">
        <v>395</v>
      </c>
      <c r="B30" s="2" t="s">
        <v>399</v>
      </c>
      <c r="C30" s="2" t="s">
        <v>400</v>
      </c>
    </row>
    <row r="31" customFormat="false" ht="15" hidden="false" customHeight="false" outlineLevel="0" collapsed="false">
      <c r="A31" s="2" t="s">
        <v>395</v>
      </c>
      <c r="B31" s="2" t="s">
        <v>401</v>
      </c>
      <c r="C31" s="2" t="s">
        <v>402</v>
      </c>
    </row>
    <row r="32" customFormat="false" ht="15" hidden="false" customHeight="false" outlineLevel="0" collapsed="false">
      <c r="A32" s="2" t="s">
        <v>395</v>
      </c>
      <c r="B32" s="2" t="s">
        <v>403</v>
      </c>
      <c r="C32" s="2" t="s">
        <v>404</v>
      </c>
    </row>
    <row r="33" customFormat="false" ht="15" hidden="false" customHeight="false" outlineLevel="0" collapsed="false">
      <c r="A33" s="2" t="s">
        <v>405</v>
      </c>
      <c r="B33" s="2" t="s">
        <v>406</v>
      </c>
      <c r="C33" s="2" t="s">
        <v>407</v>
      </c>
    </row>
    <row r="34" customFormat="false" ht="15" hidden="false" customHeight="false" outlineLevel="0" collapsed="false">
      <c r="A34" s="2" t="s">
        <v>52</v>
      </c>
      <c r="B34" s="2" t="s">
        <v>408</v>
      </c>
      <c r="C34" s="2" t="s">
        <v>382</v>
      </c>
    </row>
    <row r="35" customFormat="false" ht="15" hidden="false" customHeight="false" outlineLevel="0" collapsed="false">
      <c r="A35" s="2" t="s">
        <v>52</v>
      </c>
      <c r="B35" s="2" t="s">
        <v>409</v>
      </c>
      <c r="C35" s="2" t="s">
        <v>50</v>
      </c>
    </row>
    <row r="36" customFormat="false" ht="23.85" hidden="false" customHeight="false" outlineLevel="0" collapsed="false">
      <c r="A36" s="2" t="s">
        <v>410</v>
      </c>
      <c r="B36" s="2" t="s">
        <v>411</v>
      </c>
      <c r="C36" s="2"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40"/>
  </cols>
  <sheetData>
    <row r="1" customFormat="false" ht="30" hidden="false" customHeight="true" outlineLevel="0" collapsed="false">
      <c r="A1" s="1" t="s">
        <v>413</v>
      </c>
      <c r="B1" s="1" t="s">
        <v>414</v>
      </c>
      <c r="C1" s="1" t="s">
        <v>415</v>
      </c>
    </row>
    <row r="2" customFormat="false" ht="15" hidden="false" customHeight="false" outlineLevel="0" collapsed="false">
      <c r="A2" s="2" t="n">
        <v>1</v>
      </c>
      <c r="B2" s="2" t="s">
        <v>416</v>
      </c>
      <c r="C2" s="2" t="s">
        <v>417</v>
      </c>
    </row>
    <row r="3" customFormat="false" ht="15" hidden="false" customHeight="false" outlineLevel="0" collapsed="false">
      <c r="A3" s="2" t="n">
        <v>2</v>
      </c>
      <c r="B3" s="2" t="s">
        <v>418</v>
      </c>
      <c r="C3" s="2" t="s">
        <v>363</v>
      </c>
    </row>
    <row r="4" customFormat="false" ht="15" hidden="false" customHeight="false" outlineLevel="0" collapsed="false">
      <c r="A4" s="2" t="n">
        <v>3</v>
      </c>
      <c r="B4" s="2" t="s">
        <v>419</v>
      </c>
      <c r="C4" s="2" t="s">
        <v>363</v>
      </c>
    </row>
    <row r="5" customFormat="false" ht="15" hidden="false" customHeight="false" outlineLevel="0" collapsed="false">
      <c r="A5" s="2" t="n">
        <v>4</v>
      </c>
      <c r="B5" s="2" t="s">
        <v>420</v>
      </c>
      <c r="C5" s="2" t="s">
        <v>391</v>
      </c>
    </row>
    <row r="6" customFormat="false" ht="15" hidden="false" customHeight="false" outlineLevel="0" collapsed="false">
      <c r="A6" s="2" t="n">
        <v>5</v>
      </c>
      <c r="B6" s="2" t="s">
        <v>421</v>
      </c>
      <c r="C6" s="2" t="s">
        <v>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12"/>
    <col collapsed="false" customWidth="true" hidden="false" outlineLevel="0" max="4" min="4" style="0" width="18"/>
    <col collapsed="false" customWidth="true" hidden="false" outlineLevel="0" max="5" min="5" style="0" width="10"/>
  </cols>
  <sheetData>
    <row r="1" customFormat="false" ht="30" hidden="false" customHeight="true" outlineLevel="0" collapsed="false">
      <c r="A1" s="1" t="s">
        <v>423</v>
      </c>
      <c r="B1" s="1" t="s">
        <v>424</v>
      </c>
      <c r="C1" s="1" t="s">
        <v>21</v>
      </c>
      <c r="D1" s="1" t="s">
        <v>425</v>
      </c>
      <c r="E1" s="1" t="s">
        <v>426</v>
      </c>
    </row>
    <row r="2" customFormat="false" ht="15" hidden="false" customHeight="false" outlineLevel="0" collapsed="false">
      <c r="A2" s="2" t="s">
        <v>427</v>
      </c>
      <c r="B2" s="2" t="s">
        <v>428</v>
      </c>
      <c r="C2" s="2" t="n">
        <f aca="false">COUNTIF(Foundation!$H$2:$H$22,A2)</f>
        <v>0</v>
      </c>
      <c r="D2" s="2" t="n">
        <f aca="false">COUNTIF('Capability Backlog'!$H$2:$H$14,A2)</f>
        <v>0</v>
      </c>
      <c r="E2" s="2" t="n">
        <f aca="false">C2+D2</f>
        <v>0</v>
      </c>
    </row>
    <row r="3" customFormat="false" ht="15" hidden="false" customHeight="false" outlineLevel="0" collapsed="false">
      <c r="A3" s="2" t="s">
        <v>152</v>
      </c>
      <c r="B3" s="2" t="s">
        <v>429</v>
      </c>
      <c r="C3" s="2" t="n">
        <f aca="false">COUNTIF(Foundation!$H$2:$H$22,A3)</f>
        <v>8</v>
      </c>
      <c r="D3" s="2" t="n">
        <f aca="false">COUNTIF('Capability Backlog'!$H$2:$H$14,A3)</f>
        <v>2</v>
      </c>
      <c r="E3" s="2" t="n">
        <f aca="false">C3+D3</f>
        <v>10</v>
      </c>
    </row>
    <row r="4" customFormat="false" ht="15" hidden="false" customHeight="false" outlineLevel="0" collapsed="false">
      <c r="A4" s="2" t="s">
        <v>54</v>
      </c>
      <c r="B4" s="2" t="s">
        <v>430</v>
      </c>
      <c r="C4" s="2" t="n">
        <f aca="false">COUNTIF(Foundation!$H$2:$H$22,A4)</f>
        <v>7</v>
      </c>
      <c r="D4" s="2" t="n">
        <f aca="false">COUNTIF('Capability Backlog'!$H$2:$H$14,A4)</f>
        <v>9</v>
      </c>
      <c r="E4" s="2" t="n">
        <f aca="false">C4+D4</f>
        <v>16</v>
      </c>
    </row>
    <row r="5" customFormat="false" ht="15" hidden="false" customHeight="false" outlineLevel="0" collapsed="false">
      <c r="A5" s="2" t="s">
        <v>25</v>
      </c>
      <c r="B5" s="2" t="s">
        <v>431</v>
      </c>
      <c r="C5" s="2" t="n">
        <f aca="false">COUNTIF(Foundation!$H$2:$H$22,A5)</f>
        <v>4</v>
      </c>
      <c r="D5" s="2" t="n">
        <f aca="false">COUNTIF('Capability Backlog'!$H$2:$H$14,A5)</f>
        <v>2</v>
      </c>
      <c r="E5" s="2" t="n">
        <f aca="false">C5+D5</f>
        <v>6</v>
      </c>
    </row>
    <row r="6" customFormat="false" ht="15" hidden="false" customHeight="false" outlineLevel="0" collapsed="false">
      <c r="A6" s="2" t="s">
        <v>41</v>
      </c>
      <c r="B6" s="2" t="s">
        <v>432</v>
      </c>
      <c r="C6" s="2" t="n">
        <f aca="false">COUNTIF(Foundation!$H$2:$H$22,A6)</f>
        <v>2</v>
      </c>
      <c r="D6" s="2" t="n">
        <f aca="false">COUNTIF('Capability Backlog'!$H$2:$H$14,A6)</f>
        <v>0</v>
      </c>
      <c r="E6" s="2" t="n">
        <f aca="false">C6+D6</f>
        <v>2</v>
      </c>
    </row>
    <row r="7" customFormat="false" ht="15" hidden="false" customHeight="false" outlineLevel="0" collapsed="false">
      <c r="A7" s="2" t="s">
        <v>426</v>
      </c>
      <c r="B7" s="2"/>
      <c r="C7" s="2" t="n">
        <f aca="false">SUM(C2:C6)</f>
        <v>21</v>
      </c>
      <c r="D7" s="2" t="n">
        <f aca="false">SUM(D2:D6)</f>
        <v>13</v>
      </c>
      <c r="E7" s="2" t="n">
        <f aca="false">SUM(E2:E6)</f>
        <v>34</v>
      </c>
    </row>
    <row r="8" customFormat="false" ht="57.45" hidden="false" customHeight="false" outlineLevel="0" collapsed="false">
      <c r="A8" s="2" t="s">
        <v>433</v>
      </c>
      <c r="B8" s="2" t="s">
        <v>434</v>
      </c>
      <c r="C8" s="2"/>
      <c r="D8" s="2"/>
      <c r="E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2026-10-29T21:12:34Z</dcterms:created>
  <dc:creator>openpyxl</dc:creator>
  <dc:description/>
  <dc:language>en-US</dc:language>
  <cp:lastModifiedBy/>
  <dcterms:modified xsi:type="dcterms:W3CDTF">2026-10-29T21:12:34Z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