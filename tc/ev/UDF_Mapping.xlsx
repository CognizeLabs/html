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atures" sheetId="1" state="visible" r:id="rId3"/>
    <sheet name="Blueprint Coverage" sheetId="2" state="visible" r:id="rId4"/>
    <sheet name="Estimate Guide" sheetId="3" state="visible" r:id="rId5"/>
  </sheets>
  <definedNames>
    <definedName function="false" hidden="true" localSheetId="0" name="_xlnm._FilterDatabase" vbProcedure="false">Features!$A$1:$Q$25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<sst xmlns="http://schemas.openxmlformats.org/spreadsheetml/2006/main" count="516" uniqueCount="347">
  <si>
    <t xml:space="preserve">Formatted ID (from screenshot)</t>
  </si>
  <si>
    <t xml:space="preserve">Original Rally Name</t>
  </si>
  <si>
    <t xml:space="preserve">Blueprint-Aligned Name</t>
  </si>
  <si>
    <t xml:space="preserve">Type</t>
  </si>
  <si>
    <t xml:space="preserve">Blueprint Layer</t>
  </si>
  <si>
    <t xml:space="preserve">Blueprint Component(s)</t>
  </si>
  <si>
    <t xml:space="preserve">Preliminary Estimate</t>
  </si>
  <si>
    <t xml:space="preserve">Description</t>
  </si>
  <si>
    <t xml:space="preserve">Foundational Scope (Shell)</t>
  </si>
  <si>
    <t xml:space="preserve">Future Expansion</t>
  </si>
  <si>
    <t xml:space="preserve">Acceptance Criteria</t>
  </si>
  <si>
    <t xml:space="preserve">Dependencies</t>
  </si>
  <si>
    <t xml:space="preserve">Design Notes</t>
  </si>
  <si>
    <t xml:space="preserve">Owner</t>
  </si>
  <si>
    <t xml:space="preserve">Tags</t>
  </si>
  <si>
    <t xml:space="preserve">Planned Start Date</t>
  </si>
  <si>
    <t xml:space="preserve">Planned End Date</t>
  </si>
  <si>
    <t xml:space="preserve">…60864</t>
  </si>
  <si>
    <t xml:space="preserve">Agent 1: Distribution Experience Conversation and UI State</t>
  </si>
  <si>
    <t xml:space="preserve">Concierge Agent Shell: conversation, guided UI state, first Q&amp;A slice (Surest)</t>
  </si>
  <si>
    <t xml:space="preserve">Existing</t>
  </si>
  <si>
    <t xml:space="preserve">L2 Front door (guided UI shell); L5 Agents</t>
  </si>
  <si>
    <t xml:space="preserve">Concierge agent; guided UI component catalog; AG-UI event stream</t>
  </si>
  <si>
    <t xml:space="preserve">L</t>
  </si>
  <si>
    <t xml:space="preserve">Stand up the Concierge agent as the conversational entry point of the Unified Digital Front Door, wired end to end through the architecture. It runs the conversation, returns governed UI components instead of free text, keeps per-session UI state, and answers questions only from approved, cited knowledge. This feature delivers the shell plus one thin capability so the pattern is proven before more content is added.</t>
  </si>
  <si>
    <t xml:space="preserve">Agent registered with its own identity and an allowed-tool profile; skill-loading hook in place; guided turn contract (message, components, progress, next actions) implemented; session/UI state persisted per case; first capability: answer Surest plan questions from an approved Surest knowledge source with citations; traces emitted to LingoScope; starter eval set.</t>
  </si>
  <si>
    <t xml:space="preserve">Navigation Q&amp;A (where do I find X, how do I do Y); plan and benefit answers from the benefits engine; delegated member-level benefit inquiries; case status answers from the tracker; additional channels (SAMx panel, employer portal).</t>
  </si>
  <si>
    <t xml:space="preserve">• Concierge answers a Surest plan question with a citation to the approved source, and declines with an offer of help when the source has no answer.
• Every reply follows the guided turn contract and renders only components from the approved catalog.
• UI/session state survives a page refresh and a return visit to the same case.
• Agent identity and allowed tools are enforced by the MCP gateway; a call to a non-allowed tool is refused and logged.
• Each turn produces one end-to-end trace visible in LingoScope.
• A starter eval set (at least 25 Surest questions, including out-of-scope ones) runs in CI with an agreed pass threshold.</t>
  </si>
  <si>
    <t xml:space="preserve">UDF Gateway Build (L2); Identity &amp; Policy MCP group; Observability &amp; eval harness foundation; approved Surest knowledge source.</t>
  </si>
  <si>
    <t xml:space="preserve">Original name merged UI state into the agent; in the blueprint, UI rendering belongs to the L2 guided UI shell and the conversation to Concierge. Both are in scope here.</t>
  </si>
  <si>
    <t xml:space="preserve">Kathy Brehant</t>
  </si>
  <si>
    <t xml:space="preserve">Sales &amp; Distribution</t>
  </si>
  <si>
    <t xml:space="preserve">11/2/26</t>
  </si>
  <si>
    <t xml:space="preserve">3/12/27</t>
  </si>
  <si>
    <t xml:space="preserve">…60868</t>
  </si>
  <si>
    <t xml:space="preserve">Agent 2: Intake &amp; Readiness Facts, Documents, Census</t>
  </si>
  <si>
    <t xml:space="preserve">Intake Agent Shell: gather facts and track readiness</t>
  </si>
  <si>
    <t xml:space="preserve">L5 Agents</t>
  </si>
  <si>
    <t xml:space="preserve">Intake agent; case store (facts); requirement engine (L6, via tool)</t>
  </si>
  <si>
    <t xml:space="preserve">M</t>
  </si>
  <si>
    <t xml:space="preserve">Stand up the Intake agent, which gathers the next facts a case needs, validates them and writes them to the case with their source and confidence. It asks for what the requirement engine says is next rather than deciding on its own. Reading documents and census files is handled by the Evidence agent (new feature), so this agent focuses on facts and readiness.</t>
  </si>
  <si>
    <t xml:space="preserve">Agent registered with identity and tool profile; reads the next-questions list from the requirement engine (stubbed if not ready); writes facts to the case via the Case MCP tools with source and confidence; renders prefilled intake components; first capability: canonical quote intake (group size, situs state, states, effective date, products of interest).</t>
  </si>
  <si>
    <t xml:space="preserve">Path-specific intake for each segment and funding type; renewal and member-maintenance intake; prefill from existing customer data.</t>
  </si>
  <si>
    <t xml:space="preserve">• Given a free-text broker message, the agent extracts canonical intake facts and shows them prefilled for confirmation.
• Each fact is stored on the case with its source (broker-stated, document, system) and a confidence value.
• The agent asks only for items the requirement engine returns, in the order it returns them.
• Readiness status (what is complete, what is outstanding) is visible on the case tracker.
• Traces and a starter eval set exist, as for all agent shells.</t>
  </si>
  <si>
    <t xml:space="preserve">Case &amp; Routing MCP group; Decision services foundation (requirement engine); Evidence Agent Shell.</t>
  </si>
  <si>
    <t xml:space="preserve">Documents and census were in the original name; they are moved to the new Evidence Agent Shell to match the blueprint.</t>
  </si>
  <si>
    <t xml:space="preserve">…60870</t>
  </si>
  <si>
    <t xml:space="preserve">Agent 3: Quote Journey Orchestrator Route-Selected Journey</t>
  </si>
  <si>
    <t xml:space="preserve">Conversation Orchestrator &amp; Journey Routing Shell</t>
  </si>
  <si>
    <t xml:space="preserve">L3 Orchestration</t>
  </si>
  <si>
    <t xml:space="preserve">Conversation orchestrator; intent catalog; journey/playbook selection</t>
  </si>
  <si>
    <t xml:space="preserve">Build the conversation orchestrator that understands each message, splits multi-intent requests, and routes each intent to the right journey and playbook. In the blueprint this is a deterministic orchestration component, not an AI agent: the language model detects intent, but routing to a journey is fixed configuration. It also handles topic switches and resuming the previous case.</t>
  </si>
  <si>
    <t xml:space="preserve">Two-stage intent detection (classifier, then LLM on low confidence or compound messages); intent catalog for the quote journey; mapping from intent to journey and playbook as configuration; thread tracking per session (which case is in focus); resume prompt using the case's next action; safe fallback for unknown intents.</t>
  </si>
  <si>
    <t xml:space="preserve">Intents for member maintenance, inquiries, census and reporting, renewal and producer compensation; handoff-signal scoring feeding the Exception agent.</t>
  </si>
  <si>
    <t xml:space="preserve">• A message with two intents creates two separately tracked threads.
• An intent maps to the same journey and playbook every time (configuration, not model judgment).
• A topic switch mid-quote is answered without changing the quote case, and the user is offered a return to the quote with its next action.
• An ambiguous message produces a short clarifying question instead of a guess.
• Unknown intents go to a safe fallback and are logged for review.</t>
  </si>
  <si>
    <t xml:space="preserve">Case &amp; Routing MCP group (workflow engine); Concierge Agent Shell.</t>
  </si>
  <si>
    <t xml:space="preserve">Renamed from 'agent' because the blueprint keeps orchestration deterministic. Coordination of pricing and underwriting moves to the Coordinator features (rows for Agents 5 and 6).</t>
  </si>
  <si>
    <t xml:space="preserve">…60871</t>
  </si>
  <si>
    <t xml:space="preserve">Agent 4: Plan &amp; Package Advisor Compare/Explain Results</t>
  </si>
  <si>
    <t xml:space="preserve">Concierge Capability Shell: plan and package compare/explain</t>
  </si>
  <si>
    <t xml:space="preserve">L5 Agents; L2 Front door (comparison component)</t>
  </si>
  <si>
    <t xml:space="preserve">Concierge agent + plan comparison skills; side-by-side quote component; Product &amp; plans MCP</t>
  </si>
  <si>
    <t xml:space="preserve">Add plan and package comparison as a Concierge capability rather than a separate agent. The broker sees quote options side by side, and Concierge explains differences using only approved plan data and returned rates. This keeps the agent roster small, as the blueprint intends, while giving advisory behavior its own skill set.</t>
  </si>
  <si>
    <t xml:space="preserve">Side-by-side comparison component in the UI catalog; 'compare and explain plans' skill; read-only access to Product &amp; plans and quote results; explanations cite the plan source; first capability: compare two returned quote options for one group.</t>
  </si>
  <si>
    <t xml:space="preserve">Modular plan comparisons; funding-type comparisons (FI vs level funded vs ASO); renewal vs re-quote comparisons.</t>
  </si>
  <si>
    <t xml:space="preserve">• Given two or more returned quote options, the comparison component renders them side by side with consistent attributes.
• Every explanation statement traces to plan data or returned rates; no unsupported claims (verified by eval set).
• The capability has read-only tool access and cannot change a quote or case state.
• Comparisons respect entitlements: a broker sees only their own groups' quotes.</t>
  </si>
  <si>
    <t xml:space="preserve">Concierge Agent Shell; Documents &amp; Plan MCP group; UW &amp; Quote/Proposal MCP group.</t>
  </si>
  <si>
    <t xml:space="preserve">Mapped to Concierge instead of a new 'advisor' agent; the blueprint adds skills, not agents, for new subject areas.</t>
  </si>
  <si>
    <t xml:space="preserve">…60872</t>
  </si>
  <si>
    <t xml:space="preserve">Agent 5: UW Readiness Requirements &amp; Escalation</t>
  </si>
  <si>
    <t xml:space="preserve">Coordinator Agent Shell: pricing/underwriting readiness, submission and escalation</t>
  </si>
  <si>
    <t xml:space="preserve">L5 Agents; L6 Decision services (requirements)</t>
  </si>
  <si>
    <t xml:space="preserve">Coordinator agent; requirement engine; A2A handoff to UP&amp;UP underwriting; Exception agent for escalation</t>
  </si>
  <si>
    <t xml:space="preserve">Stand up the Coordinator agent, which checks whether a case is ready for pricing and underwriting, assembles the package, submits it and tracks outcomes per product. Readiness requirements come from the requirement engine (a decision service), not from the agent. Full underwriting packages are handed to UP&amp;UP's underwriting agent as an A2A task; anything stuck is escalated through the Exception agent.</t>
  </si>
  <si>
    <t xml:space="preserve">Agent registered with identity and tool profile; readiness check driven by the requirement engine; package assembly contract (census, verified facts, evidence, decision records, products); A2A task to UP&amp;UP stubbed against the agreed contract; per-product child status on the tracker; escalation path to Exception agent.</t>
  </si>
  <si>
    <t xml:space="preserve">Live UP&amp;UP integration for key and national accounts; 'input required' loop back to the broker; multi-product fan-out and fan-in at scale.</t>
  </si>
  <si>
    <t xml:space="preserve">• The agent reports a case as ready only when the requirement engine returns no blocking items.
• The underwriting package matches the agreed contract and is validated before submission.
• Each product line is tracked separately with status on the tracker.
• An 'input required' response from underwriting becomes a guided question to the broker.
• A stalled or failed submission is escalated to the Exception agent with the context package.</t>
  </si>
  <si>
    <t xml:space="preserve">Decision services foundation; UW &amp; Quote/Proposal MCP group; Exception Agent &amp; Handoff Router Shell; UP&amp;UP team (package contract).</t>
  </si>
  <si>
    <t xml:space="preserve">Requirements logic is a decision service in the blueprint; the agent consumes it.</t>
  </si>
  <si>
    <t xml:space="preserve">…60873</t>
  </si>
  <si>
    <t xml:space="preserve">Agent 6: Proposal Narrative Approved Data Only</t>
  </si>
  <si>
    <t xml:space="preserve">Coordinator Capability Shell: proposal assembly from approved data</t>
  </si>
  <si>
    <t xml:space="preserve">L5 Agents; L9 Outputs</t>
  </si>
  <si>
    <t xml:space="preserve">Coordinator agent + proposal skill; Notices and documents output</t>
  </si>
  <si>
    <t xml:space="preserve">S</t>
  </si>
  <si>
    <t xml:space="preserve">Assemble the proposal once every product has reached an outcome (approved, declined or withdrawn), using only approved rates and decision records. The agent writes the narrative; it cannot introduce figures that are not in the approved data. Declined products appear as 'not available' with the reason, not as errors.</t>
  </si>
  <si>
    <t xml:space="preserve">Proposal skill with an approved-data-only rule; fan-in gate (all products resolved) enforced by the workflow; proposal template; output to the documents store; first capability: proposal for a single-product quote.</t>
  </si>
  <si>
    <t xml:space="preserve">Multi-product and multi-funding proposals; renewal proposals; partner-branded proposals.</t>
  </si>
  <si>
    <t xml:space="preserve">• A proposal cannot be generated until every product on the case has a terminal outcome.
• Every number in the proposal matches the approved rate source (automated check).
• Declined products are shown with their reason.
• The generated proposal is stored and linked on the case tracker.</t>
  </si>
  <si>
    <t xml:space="preserve">Coordinator Agent Shell; UW &amp; Quote/Proposal MCP group.</t>
  </si>
  <si>
    <t xml:space="preserve">Mapped to Coordinator rather than a separate agent.</t>
  </si>
  <si>
    <t xml:space="preserve">…60874</t>
  </si>
  <si>
    <t xml:space="preserve">Agent 7: Enrollment Handoff Package &amp; Status</t>
  </si>
  <si>
    <t xml:space="preserve">Installation Agent Shell: install package, submission and status</t>
  </si>
  <si>
    <t xml:space="preserve">L5 Agents; L8 MCP (install adapters)</t>
  </si>
  <si>
    <t xml:space="preserve">Installation agent; install adapters; platform resolver (L6)</t>
  </si>
  <si>
    <t xml:space="preserve">Stand up the Installation agent, which builds the installation plan per product and platform, submits it through the install adapters, and reconciles status. It never chooses the platform; the platform resolver decides that medical goes on one platform per case. Partial installs are raised to the Exception agent.</t>
  </si>
  <si>
    <t xml:space="preserve">Agent registered with identity and tool profile; installation plan contract per product; install adapter interface with one platform stubbed; idempotency key on every submission; status reconciliation to the tracker.</t>
  </si>
  <si>
    <t xml:space="preserve">All medical and specialty platform adapters; enrollment file (834) flows; renewal installs.</t>
  </si>
  <si>
    <t xml:space="preserve">• An installation plan is created per product, using the platform chosen by the platform resolver.
• Submissions carry an idempotency key; a retried submission does not create a duplicate.
• Install status per product is visible on the tracker.
• A partial install (one product succeeds, another fails) raises an Exception task.</t>
  </si>
  <si>
    <t xml:space="preserve">Enrollment &amp; Assurance MCP group; Decision services foundation (platform resolver); Exception Agent Shell.</t>
  </si>
  <si>
    <t xml:space="preserve">…60883</t>
  </si>
  <si>
    <t xml:space="preserve">Skill Layer 1: Foundation Context (Policy, Route, Case)</t>
  </si>
  <si>
    <t xml:space="preserve">Skill Layer 1 Shell: foundation context skills</t>
  </si>
  <si>
    <t xml:space="preserve">L5 Skills</t>
  </si>
  <si>
    <t xml:space="preserve">Shared skills loaded by every agent</t>
  </si>
  <si>
    <t xml:space="preserve">Create the skill framework and the foundation skills every agent uses: how to read the case snapshot, how to explain routing and status to a user, and how to explain an access or policy outcome. These skills explain decisions; they never make them. Policy enforcement stays in the entitlements service and gateways.</t>
  </si>
  <si>
    <t xml:space="preserve">Skill packaging format (instructions, examples, references, declared tools); progressive loading hook; versioning and review workflow; three foundation skills: case-snapshot use, status/route explanation, access-outcome explanation.</t>
  </si>
  <si>
    <t xml:space="preserve">Additional cross-journey skills as patterns emerge.</t>
  </si>
  <si>
    <t xml:space="preserve">• Skills are versioned, reviewed and loaded only at the step that needs them.
• Each skill declares the tools it expects; a mismatch with the playbook step's allowed tools is flagged before release.
• The access-outcome skill explains a denial using the reason returned by the entitlements service, and cannot change the outcome.
• Foundation skills are covered by the eval harness.</t>
  </si>
  <si>
    <t xml:space="preserve">Concierge Agent Shell; Identity &amp; Policy MCP group.</t>
  </si>
  <si>
    <t xml:space="preserve">'Policy' in the original name is treated as explaining policy outcomes only; authorization itself must not be a skill.</t>
  </si>
  <si>
    <t xml:space="preserve">…60885</t>
  </si>
  <si>
    <t xml:space="preserve">Skill Layer 2: Reusable Subskill Intake (Census/Doc Readiness, Plans, UW Readine… [name truncated in screenshot]</t>
  </si>
  <si>
    <t xml:space="preserve">Skill Layer 2 Shell: reusable subskills (census/document readiness, plans, UW readiness)</t>
  </si>
  <si>
    <t xml:space="preserve">Reusable skills used across journeys</t>
  </si>
  <si>
    <t xml:space="preserve">Create the reusable subskills shared by several journeys and agents: census and document readiness, plan information, and underwriting readiness. Each is written once and reused by quote, renewal and reporting playbooks.</t>
  </si>
  <si>
    <t xml:space="preserve">Starter versions of: census readiness and validation, document readiness checklist, plan information lookup, UW readiness check; each with examples and declared tools; owners from business SMEs named.</t>
  </si>
  <si>
    <t xml:space="preserve">Path-specific variants; member-maintenance subskills (newborn add, termination); reporting subskills.</t>
  </si>
  <si>
    <t xml:space="preserve">• Each subskill is reused by at least two agents or playbooks without copying.
• Each subskill has a named business SME reviewer.
• Census readiness flags missing or malformed columns on a sample census set.
• Subskills are covered by the eval harness.</t>
  </si>
  <si>
    <t xml:space="preserve">Skill Layer 1 Shell; Evidence Agent Shell; Intake Agent Shell.</t>
  </si>
  <si>
    <t xml:space="preserve">Full name is truncated in the screenshot; confirm against Rally.</t>
  </si>
  <si>
    <t xml:space="preserve">…60886</t>
  </si>
  <si>
    <t xml:space="preserve">Skill Layer 3: Domain Journey Skills Quote (2-50 FI/LF, 51+ FI/LF, KA, NA)</t>
  </si>
  <si>
    <t xml:space="preserve">Skill Layer 3 Shell: quote-to-install playbooks and path skills</t>
  </si>
  <si>
    <t xml:space="preserve">L4 Journeys; L5 Skills</t>
  </si>
  <si>
    <t xml:space="preserve">Quote-to-install journey; playbooks per path; path-specific skills</t>
  </si>
  <si>
    <t xml:space="preserve">Define the quote-to-install journey as one journey with a playbook per path (2-50 fully insured, 2-50 level funded, 51+ fully insured and level funded, key accounts, national accounts) and the path-specific skills each needs. Segment and funding are decided by decision services; the playbook for that path then runs. The shell proves the framework with one path end to end and stubs the others.</t>
  </si>
  <si>
    <t xml:space="preserve">Playbook format (steps, skills per step, allowed tools, approvals, timers); playbook versioning and a case's pinned version; one path fully defined end to end (recommend the first business-priority path); remaining paths stubbed with their step lists; switching playbooks mid-case when the path changes.</t>
  </si>
  <si>
    <t xml:space="preserve">All paths fully defined with SME sign-off; renewal playbooks reusing quote steps.</t>
  </si>
  <si>
    <t xml:space="preserve">• One path runs end to end in a test environment from intake to installation plan.
• When a case's segment changes (for example 48 to 63 FTE), the case switches playbooks, keeps collected facts, and shows only the new outstanding items.
• Every playbook step lists its allowed tools and approvals, and the workflow enforces them.
• Each defined path has an SME-approved step list.</t>
  </si>
  <si>
    <t xml:space="preserve">Case &amp; Routing MCP group (workflow engine); Decision services foundation; Skill Layers 1 and 2.</t>
  </si>
  <si>
    <t xml:space="preserve">Playbooks are workflow configuration (L4); skills are know-how (L5). Both are in scope here.</t>
  </si>
  <si>
    <t xml:space="preserve">…60888</t>
  </si>
  <si>
    <t xml:space="preserve">UDF Gateway Build, Guided UI Layer, Proxy with Data Externalization, SAMx / B&amp;E … [name truncated in screenshot]</t>
  </si>
  <si>
    <t xml:space="preserve">UDF Gateway &amp; Guided UI Shell (API gateway, guided UI, SAMx embedding)</t>
  </si>
  <si>
    <t xml:space="preserve">L2 Unified digital front door</t>
  </si>
  <si>
    <t xml:space="preserve">API gateway; guided UI shell; embeddable panel for SAMx</t>
  </si>
  <si>
    <t xml:space="preserve">XL</t>
  </si>
  <si>
    <t xml:space="preserve">Build the front door: the API gateway with sign-in through OHID and MSID, the guided UI shell with its component catalog and case tracker view, and the proxy layer that exposes back-end data to the front door safely. Existing APIs are redesigned where needed so the front door consumes them consistently (per the existing Rally description). The UI is built as an embeddable component so it can sit inside SAMx.</t>
  </si>
  <si>
    <t xml:space="preserve">Gateway with OHID and MSID federation and the onboarded/active check; on-behalf-of token issuance hook; guided UI shell with component catalog, conversation rail and tracker view; proxy with data masking by role; SAMx embedding proven with one screen.</t>
  </si>
  <si>
    <t xml:space="preserve">Partner gateway for Benefitter, Employee Navigator and Gusto (see new feature); additional portals; voice channel.</t>
  </si>
  <si>
    <t xml:space="preserve">• External users sign in via OHID and internal users via MSID; a user who is invited but not onboarded is stopped at the gateway.
• The guided UI renders only components from the approved catalog and shows the case tracker.
• The proxy masks fields the user's role is not entitled to see.
• The UI shell runs embedded in SAMx for at least one flow.
• Gateway calls are traced end to end.</t>
  </si>
  <si>
    <t xml:space="preserve">Identity &amp; Policy MCP group; Concierge Agent Shell; SAMx team.</t>
  </si>
  <si>
    <t xml:space="preserve">Estimate XL taken from the existing Rally entry. 'B&amp;E' is truncated in the screenshot; confirm meaning. Consider splitting into gateway and UI features if it exceeds one PI.</t>
  </si>
  <si>
    <t xml:space="preserve">…60894</t>
  </si>
  <si>
    <t xml:space="preserve">MCP Server Group 1: Identity &amp; Policy Profile, Delegation, Authorize</t>
  </si>
  <si>
    <t xml:space="preserve">Identity &amp; Policy Shell: profile, delegation, authorization decision service, MCP gateway enforcement</t>
  </si>
  <si>
    <t xml:space="preserve">L2 Identity and delegation; L6 Entitlements; L7 MCP gateway</t>
  </si>
  <si>
    <t xml:space="preserve">Profile store; entitlement store; policy decision service; token exchange; MCP gateway enforcement</t>
  </si>
  <si>
    <t xml:space="preserve">Stand up authorization as a service every layer calls. Profile describes the user; entitlements decide what they can do, using roles, affiliations, broker of record and employer delegation from the onboarding system. The MCP gateway enforces the decision on every tool call, and agents act only with on-behalf-of tokens limited to the user's rights and the current step. This aligns with the planned user authorization and profile refactor.</t>
  </si>
  <si>
    <t xml:space="preserve">Profile and entitlement stores separated; policy decision service with first policies (broker of record, employer delegation, plan-level vs member-level); token exchange for agents; MCP gateway calling the decision service on every tool call; decision audit log.</t>
  </si>
  <si>
    <t xml:space="preserve">Agency hierarchy, internal role policies, partner client policies, access reviews, support access, revocation events.</t>
  </si>
  <si>
    <t xml:space="preserve">• A broker can retrieve only groups where they are broker of record; other requests are denied with a logged reason.
• An employer admin sees member-level data only when delegated.
• An agent's effective permissions are the intersection of the user's entitlements and the current step's allowed tools.
• Every allow and deny decision is logged with reason and policy version.
• Policies are covered by an automated test suite that runs on every change.</t>
  </si>
  <si>
    <t xml:space="preserve">Onboarding system (source of roles and affiliations); producer system (if broker of record lives there); UDF Gateway Build.</t>
  </si>
  <si>
    <t xml:space="preserve">Authorization is enforced by services, never by skills or prompts.</t>
  </si>
  <si>
    <t xml:space="preserve">…60895</t>
  </si>
  <si>
    <t xml:space="preserve">MCP Server Group 2: Case &amp; Routing Case, Evidence, Route, Workflow</t>
  </si>
  <si>
    <t xml:space="preserve">Case Workflow Engine, Case Tracker &amp; Case MCP Shell</t>
  </si>
  <si>
    <t xml:space="preserve">L3 Orchestration (workflow engine, tracker); L8 MCP (Case server)</t>
  </si>
  <si>
    <t xml:space="preserve">Durable workflow engine; case store (event-sourced); case tracker read model; Case MCP server</t>
  </si>
  <si>
    <t xml:space="preserve">Stand up the deterministic backbone: a durable workflow engine that owns requests and cases, an event-sourced case store, the case tracker read model, and the Case MCP server agents use to read and write case data. This is what lets a quote run for weeks, survive restarts, re-evaluate on change, and show accurate status.</t>
  </si>
  <si>
    <t xml:space="preserve">Workflow engine selected and deployed; case lifecycle states (intake, provisional, confirmed, fan-out, fan-in, installation); request type for servicing; case store with evidence attachments; tracker read model (milestone, waiting on, next action, history); Case MCP tools (get case, record fact, attach evidence, list open requirements) with idempotency keys; approval-token issuance for writes.</t>
  </si>
  <si>
    <t xml:space="preserve">Timers and reminders per playbook; customer timeline of interactions; partner status API.</t>
  </si>
  <si>
    <t xml:space="preserve">• A case survives a service restart and deployment with no lost state.
• A material change (headcount, state, product) triggers re-evaluation and a requirement diff.
• The tracker shows milestone, waiting on, next action and plain-language history, matching the workflow state.
• Write tools require a workflow-issued approval token and an idempotency key.
• Requests and cases are distinct types; simple interactions are recorded without creating either.</t>
  </si>
  <si>
    <t xml:space="preserve">Identity &amp; Policy MCP group; Decision services foundation.</t>
  </si>
  <si>
    <t xml:space="preserve">'Route' in the original name is covered by the Conversation Orchestrator feature; 'Evidence' storage is here, extraction is in the Evidence Agent Shell.</t>
  </si>
  <si>
    <t xml:space="preserve">…60896</t>
  </si>
  <si>
    <t xml:space="preserve">MCP Server Group 3: Documents &amp; Plan Document, Census, Plans, Compatibility</t>
  </si>
  <si>
    <t xml:space="preserve">Documents, Census &amp; Plan MCP Shell</t>
  </si>
  <si>
    <t xml:space="preserve">L8 MCP capability servers</t>
  </si>
  <si>
    <t xml:space="preserve">Documents server; Census server; Product &amp; plans server (benefits engine)</t>
  </si>
  <si>
    <t xml:space="preserve">Stand up the capability servers for documents, census and plans. Documents and census files are stored and made available to the Evidence agent; plan details, including modular plans, come from the benefits engine through one Product &amp; plans server. Plan/product compatibility checks are exposed as read tools.</t>
  </si>
  <si>
    <t xml:space="preserve">Document upload and retrieval with short-lived links; census normalize/validate tools; Product &amp; plans read tools backed by the benefits engine (stubbed if not ready); compatibility check tool; typed contracts and error results; tracing.</t>
  </si>
  <si>
    <t xml:space="preserve">Full modular plan catalog; plan summaries indexed for cited Q&amp;A; census reports.</t>
  </si>
  <si>
    <t xml:space="preserve">• Documents are stored per case and retrieved via short-lived links; downloads are logged.
• Census tools return a normalized roster and a list of validation issues.
• Plan tools return benefits-engine data through one contract regardless of back-end changes.
• All tools enforce entitlements through the MCP gateway.</t>
  </si>
  <si>
    <t xml:space="preserve">Benefits engine team; Identity &amp; Policy MCP group.</t>
  </si>
  <si>
    <t xml:space="preserve">'Compatibility' assumed to mean plan/product compatibility; platform choice belongs to the platform resolver (Decision services).</t>
  </si>
  <si>
    <t xml:space="preserve">…60897</t>
  </si>
  <si>
    <t xml:space="preserve">MCP Server Group 4: UW &amp; Quote/Proposal UQ Intake, Requirements, Quote, Propo… [name truncated in screenshot]</t>
  </si>
  <si>
    <t xml:space="preserve">Quote, Rating &amp; Underwriting MCP Shell (SAMx, UP&amp;UP)</t>
  </si>
  <si>
    <t xml:space="preserve">L8 MCP capability servers; L6 Decision services (requirements)</t>
  </si>
  <si>
    <t xml:space="preserve">Quote &amp; rating server; Underwriting server; requirements tool</t>
  </si>
  <si>
    <t xml:space="preserve">Stand up one Quote and rating server that routes by segment (SAMx rates for small group today, UP&amp;UP for key and national accounts) and an Underwriting server backed by UP&amp;UP. Requirements are exposed as a tool backed by the requirement engine. Back-end changes stay behind these servers, so nothing above them changes.</t>
  </si>
  <si>
    <t xml:space="preserve">Quote &amp; rating contract (request rates, build proposal) with segment routing; SAMx small-group adapter; UP&amp;UP adapter stubbed against the agreed contract; underwriting submit/get-outcome tools; requirements tool; idempotency on writes; rate source and version recorded in decision records.</t>
  </si>
  <si>
    <t xml:space="preserve">Live UP&amp;UP for key and national accounts; new KA/NA quote APIs; A2A package handoff in production.</t>
  </si>
  <si>
    <t xml:space="preserve">• A small-group rate request is served by SAMx and a key-account request routes to UP&amp;UP (stub), through the same contract.
• Every quote records its rate source and version.
• Underwriting submissions are idempotent and return a trackable status.
• Requirements returned by the tool match the requirement engine's output for the case.</t>
  </si>
  <si>
    <t xml:space="preserve">SAMx team; UP&amp;UP team; Decision services foundation.</t>
  </si>
  <si>
    <t xml:space="preserve">Full name truncated in the screenshot; confirm against Rally.</t>
  </si>
  <si>
    <t xml:space="preserve">…60898</t>
  </si>
  <si>
    <t xml:space="preserve">MCP Server Group 5: Enrollment &amp; Assurance Install Route, Handoff, Audit</t>
  </si>
  <si>
    <t xml:space="preserve">Enrollment, Installation &amp; Assurance MCP Shell</t>
  </si>
  <si>
    <t xml:space="preserve">L8 MCP (install adapters); L6 Decision services (platform resolver); L10 Safety net (audit)</t>
  </si>
  <si>
    <t xml:space="preserve">Install adapters; install routing via platform resolver; handoff and audit hooks</t>
  </si>
  <si>
    <t xml:space="preserve">Stand up the installation and enrollment capability servers: install adapters behind one interface, install routing that uses the platform resolver, and the audit trail for installation actions. Handoff hooks connect failed or partial installs to the Exception agent.</t>
  </si>
  <si>
    <t xml:space="preserve">Install adapter interface with one platform adapter; install-route tool calling the platform resolver; status reconciliation; audit log for every install action; handoff hook to the Exception agent.</t>
  </si>
  <si>
    <t xml:space="preserve">All platform adapters; enrollment (834) feeds; partner confirmations back to aggregators.</t>
  </si>
  <si>
    <t xml:space="preserve">• Install routing always uses the platform resolver's decision; medical is never split across platforms.
• Every install action is written to the audit log with actor, case and outcome.
• A failed or partial install triggers an Exception task with the context package.
• Adapters present one contract regardless of platform.</t>
  </si>
  <si>
    <t xml:space="preserve">Decision services foundation; Installation Agent Shell; Exception Agent Shell.</t>
  </si>
  <si>
    <t xml:space="preserve">NEW</t>
  </si>
  <si>
    <t xml:space="preserve">(none)</t>
  </si>
  <si>
    <t xml:space="preserve">Evidence Agent Shell: document and census extraction with confidence</t>
  </si>
  <si>
    <t xml:space="preserve">New (proposed)</t>
  </si>
  <si>
    <t xml:space="preserve">Evidence agent</t>
  </si>
  <si>
    <t xml:space="preserve">Stand up the Evidence agent, which reads uploaded documents (census, payroll summaries, birth certificates) and extracts fields with a confidence score per field. It has no write tools; extracted values pass schema and confidence checks before reaching the case. Path-deciding fields with low confidence go to the user or a person to confirm.</t>
  </si>
  <si>
    <t xml:space="preserve">Agent registered with read-only tool profile; vision/structured-output extraction for one document type (census); per-field confidence and source; confidence policy check before writing via Intake; prompt-injection safeguards (documents treated as data).</t>
  </si>
  <si>
    <t xml:space="preserve">Payroll summaries, birth certificates, prior carrier bills; additional census formats.</t>
  </si>
  <si>
    <t xml:space="preserve">• Census extraction returns each field with a confidence score.
• Low-confidence path-deciding fields are sent for confirmation instead of being used.
• The agent cannot call write tools.
• Instructions embedded in uploaded documents are ignored (covered by adversarial eval cases).</t>
  </si>
  <si>
    <t xml:space="preserve">Documents, Census &amp; Plan MCP Shell; Decision services foundation (confidence policy).</t>
  </si>
  <si>
    <t xml:space="preserve">Split out of Agent 2 to match the blueprint.</t>
  </si>
  <si>
    <t xml:space="preserve">TBD</t>
  </si>
  <si>
    <t xml:space="preserve">Exception Agent &amp; Human Handoff Router Shell</t>
  </si>
  <si>
    <t xml:space="preserve">L5 Agents; L10 Safety net</t>
  </si>
  <si>
    <t xml:space="preserve">Exception agent; handoff policy; context package; queue routing; return-to-AI</t>
  </si>
  <si>
    <t xml:space="preserve">Stand up the safety net for users: the handoff policy that scores five signals (asks for a person, frustration, stalled progress, system failure, always-human rules), the Exception agent that builds the context package, routing to the right live-agent queue, and the return-to-AI path.</t>
  </si>
  <si>
    <t xml:space="preserve">Signal scoring in the orchestrator; context package schema (case snapshot, decision records, summary, transcript, trigger); routing to one queue; warm transfer or ticket; return-to-AI contract; reason codes.</t>
  </si>
  <si>
    <t xml:space="preserve">All queues, after-hours callbacks with wait times, full reason-code taxonomy.</t>
  </si>
  <si>
    <t xml:space="preserve">• Asking for a person transfers immediately with the context package.
• Stalled progress (same requirement asked twice on a write) offers a person.
• The live agent can hand the case back and the AI resumes at the next step.
• Every handoff records a reason code and outcome.</t>
  </si>
  <si>
    <t xml:space="preserve">Conversation Orchestrator Shell; Case Workflow Engine Shell; Observability &amp; eval harness foundation; business owners for queue staffing.</t>
  </si>
  <si>
    <t xml:space="preserve">Not covered by existing features; required so foundational shells have a path to a person.</t>
  </si>
  <si>
    <t xml:space="preserve">Decision Services Foundation: segment classifier, requirement engine, platform resolver, confidence policy, decision records</t>
  </si>
  <si>
    <t xml:space="preserve">L6 Decision services</t>
  </si>
  <si>
    <t xml:space="preserve">Rules engine; segment classifier; requirement engine; platform resolver; confidence policy; decision record store</t>
  </si>
  <si>
    <t xml:space="preserve">Stand up the rule-based decision layer that makes regulated decisions on the facts agents extract. Rules are versioned, effective-dated and business-owned, and every call writes a decision record. Several existing features depend on it (requirements, install routing, segment-driven playbooks).</t>
  </si>
  <si>
    <t xml:space="preserve">Rules engine selected; decision record schema; segment classifier with provisional (candidate set) and confirmed modes; requirement engine ordering (common, discriminating, path-specific); platform resolver (one medical platform per case); confidence policy matrix; first rule set for one path; NY small-group rule as a test case pending compliance confirmation.</t>
  </si>
  <si>
    <t xml:space="preserve">All segments, states and funding types; rule ownership and approval workflow.</t>
  </si>
  <si>
    <t xml:space="preserve">• The same facts always produce the same decision and the same decision record.
• Every decision record includes inputs with sources, rule version, as-of date and outcome.
• Changing a threshold is a versioned rules release with an effective date, not a code change.
• The platform resolver never assigns medical to more than one platform for a case.
• Rules are covered by an automated test suite.</t>
  </si>
  <si>
    <t xml:space="preserve">Business rule owners; compliance (NY small-group definition).</t>
  </si>
  <si>
    <t xml:space="preserve">Partially referenced by existing rows (Requirements, Install Route) but not owned by any; proposed as its own feature.</t>
  </si>
  <si>
    <t xml:space="preserve">AI Gateway Integration Shell</t>
  </si>
  <si>
    <t xml:space="preserve">L7 Gateways</t>
  </si>
  <si>
    <t xml:space="preserve">AI gateway (model routing, PHI redaction, budgets, audit capture)</t>
  </si>
  <si>
    <t xml:space="preserve">Route every model call through an AI gateway that selects the model tier, applies PHI redaction policy, enforces budgets and captures prompts and responses for audit and evals. Use an existing enterprise gateway if one is available.</t>
  </si>
  <si>
    <t xml:space="preserve">Gateway in front of approved model endpoints; tier routing per agent; PHI redaction policy; per-agent budgets; capture to audit and eval stores.</t>
  </si>
  <si>
    <t xml:space="preserve">Fallback models, cost dashboards per journey.</t>
  </si>
  <si>
    <t xml:space="preserve">• No agent calls a model endpoint directly.
• PHI fields are redacted per policy in logs.
• Each agent's model tier is enforced by configuration.
• Prompts and responses are retrievable for audit.</t>
  </si>
  <si>
    <t xml:space="preserve">Approved model endpoints for PHI; Observability foundation.</t>
  </si>
  <si>
    <t xml:space="preserve">Blueprint gateway with no current feature.</t>
  </si>
  <si>
    <t xml:space="preserve">Observability (LingoScope) &amp; Eval Harness Foundation</t>
  </si>
  <si>
    <t xml:space="preserve">L10 Safety net</t>
  </si>
  <si>
    <t xml:space="preserve">OpenTelemetry tracing; LingoScope operability events and queues; golden-set eval harness in CI</t>
  </si>
  <si>
    <t xml:space="preserve">Make every layer observable and testable from day one: one trace per user turn across portal, orchestrator, agents, model calls and tools; LingoScope operability events routed to ops queues; and a golden-set eval harness that gates releases.</t>
  </si>
  <si>
    <t xml:space="preserve">OpenTelemetry instrumentation standard for all shells; LingoScope ingestion and one operability event type; eval harness running golden sets in CI with pass thresholds.</t>
  </si>
  <si>
    <t xml:space="preserve">Abandonment and pattern detection per journey step; handoff-rate dashboards; release blocking on regression.</t>
  </si>
  <si>
    <t xml:space="preserve">• A single user turn produces one connected trace across all layers.
• LingoScope raises an operability event to a named ops queue for a defined failure pattern.
• Any change to a prompt, skill, playbook or rule runs the eval suite in CI.
• A failing eval blocks the release.</t>
  </si>
  <si>
    <t xml:space="preserve">LingoScope platform team.</t>
  </si>
  <si>
    <t xml:space="preserve">Every shell's acceptance criteria assume this exists.</t>
  </si>
  <si>
    <t xml:space="preserve">Partner Gateway Shell (Benefitter, Employee Navigator, Gusto)</t>
  </si>
  <si>
    <t xml:space="preserve">L2 Front door (partner gateway)</t>
  </si>
  <si>
    <t xml:space="preserve">Partner APIs, webhooks, EDI; A2A later</t>
  </si>
  <si>
    <t xml:space="preserve">Stand up the partner gateway so external platforms enter through the same front door as people: partner API for quote requests from Benefitter, change events from Employee Navigator and Gusto, and status webhooks back. Can follow the core shells if partners are not in the first release.</t>
  </si>
  <si>
    <t xml:space="preserve">Partner client authentication; one inbound quote-request API; status webhook; partner requests create cases on the same tracker.</t>
  </si>
  <si>
    <t xml:space="preserve">EDI 834 enrollment feeds; Employee Navigator and Gusto change events; A2A for partners with agents.</t>
  </si>
  <si>
    <t xml:space="preserve">• A partner request authenticates as an API client and carries the user or employer context.
• A partner quote request creates a case on the same tracker as a portal request.
• Status updates are sent back to the partner via webhook.</t>
  </si>
  <si>
    <t xml:space="preserve">UDF Gateway Build; Identity &amp; Policy MCP group; partner interface confirmation.</t>
  </si>
  <si>
    <t xml:space="preserve">Timing depends on partner priority.</t>
  </si>
  <si>
    <t xml:space="preserve">Servicing Agent Shell</t>
  </si>
  <si>
    <t xml:space="preserve">Servicing agent</t>
  </si>
  <si>
    <t xml:space="preserve">Register the Servicing agent shell so member maintenance can be added later without changing the architecture. The shell proves one simple change end to end.</t>
  </si>
  <si>
    <t xml:space="preserve">Agent registered with identity and tool profile; one read-only capability (show a member's current enrollment) and one stubbed write (address change) behind approval tokens.</t>
  </si>
  <si>
    <t xml:space="preserve">Newborn add, terminations, life events, partner-originated changes.</t>
  </si>
  <si>
    <t xml:space="preserve">• The agent is registered and governed like other shells.
• The stubbed write requires a workflow approval token and an idempotency key.</t>
  </si>
  <si>
    <t xml:space="preserve">Case Workflow Engine Shell; Identity &amp; Policy MCP group.</t>
  </si>
  <si>
    <t xml:space="preserve">Optional for the foundational release; included so all eight blueprint agents have a shell.</t>
  </si>
  <si>
    <t xml:space="preserve">Insights Agent Shell</t>
  </si>
  <si>
    <t xml:space="preserve">Insights agent; governed report definitions</t>
  </si>
  <si>
    <t xml:space="preserve">Register the Insights agent shell for governed reports and downloads, starting with one named report.</t>
  </si>
  <si>
    <t xml:space="preserve">Agent registered with identity and tool profile; one named report (case status summary) generated as a short-lived download link; download logging.</t>
  </si>
  <si>
    <t xml:space="preserve">Census downloads, enrollment and billing reports, commission statements.</t>
  </si>
  <si>
    <t xml:space="preserve">• Reports run only from approved report definitions.
• Download links expire and every download is logged.</t>
  </si>
  <si>
    <t xml:space="preserve">Documents, Census &amp; Plan MCP Shell; Identity &amp; Policy MCP group.</t>
  </si>
  <si>
    <t xml:space="preserve">Component</t>
  </si>
  <si>
    <t xml:space="preserve">Mapped Feature(s)</t>
  </si>
  <si>
    <t xml:space="preserve">L1 Inputs</t>
  </si>
  <si>
    <t xml:space="preserve">Brokers, employer admins, sales ops, partners, email</t>
  </si>
  <si>
    <t xml:space="preserve">UDF Gateway &amp; Guided UI Shell; Partner Gateway Shell (new)</t>
  </si>
  <si>
    <t xml:space="preserve">L2 Front door</t>
  </si>
  <si>
    <t xml:space="preserve">API gateway, identity and delegation</t>
  </si>
  <si>
    <t xml:space="preserve">UDF Gateway &amp; Guided UI Shell; Identity &amp; Policy Shell</t>
  </si>
  <si>
    <t xml:space="preserve">Partner gateway</t>
  </si>
  <si>
    <t xml:space="preserve">Partner Gateway Shell (new)</t>
  </si>
  <si>
    <t xml:space="preserve">Guided UI shell and components</t>
  </si>
  <si>
    <t xml:space="preserve">UDF Gateway &amp; Guided UI Shell; Concierge Agent Shell; Concierge compare capability</t>
  </si>
  <si>
    <t xml:space="preserve">Conversation orchestrator</t>
  </si>
  <si>
    <t xml:space="preserve">Conversation Orchestrator &amp; Journey Routing Shell (was Agent 3)</t>
  </si>
  <si>
    <t xml:space="preserve">Case workflow engine</t>
  </si>
  <si>
    <t xml:space="preserve">Case Workflow Engine, Case Tracker &amp; Case MCP Shell (was MCP Group 2)</t>
  </si>
  <si>
    <t xml:space="preserve">Case tracker</t>
  </si>
  <si>
    <t xml:space="preserve">L4 Journeys</t>
  </si>
  <si>
    <t xml:space="preserve">Quote to install (playbooks per path)</t>
  </si>
  <si>
    <t xml:space="preserve">Skill Layer 3 Shell</t>
  </si>
  <si>
    <t xml:space="preserve">Member maintenance, inquiries, census and reporting, renewal</t>
  </si>
  <si>
    <t xml:space="preserve">Not in foundational scope; Servicing and Insights shells reserve the place</t>
  </si>
  <si>
    <t xml:space="preserve">Concierge</t>
  </si>
  <si>
    <t xml:space="preserve">Concierge Agent Shell (Agent 1); Concierge compare capability (Agent 4)</t>
  </si>
  <si>
    <t xml:space="preserve">Intake</t>
  </si>
  <si>
    <t xml:space="preserve">Intake Agent Shell (Agent 2)</t>
  </si>
  <si>
    <t xml:space="preserve">Evidence</t>
  </si>
  <si>
    <t xml:space="preserve">Evidence Agent Shell (new)</t>
  </si>
  <si>
    <t xml:space="preserve">Coordinator</t>
  </si>
  <si>
    <t xml:space="preserve">Coordinator Agent Shell (Agent 5); Coordinator proposal capability (Agent 6)</t>
  </si>
  <si>
    <t xml:space="preserve">Installation</t>
  </si>
  <si>
    <t xml:space="preserve">Installation Agent Shell (Agent 7)</t>
  </si>
  <si>
    <t xml:space="preserve">Servicing</t>
  </si>
  <si>
    <t xml:space="preserve">Servicing Agent Shell (new, optional)</t>
  </si>
  <si>
    <t xml:space="preserve">Insights</t>
  </si>
  <si>
    <t xml:space="preserve">Insights Agent Shell (new, optional)</t>
  </si>
  <si>
    <t xml:space="preserve">Exception</t>
  </si>
  <si>
    <t xml:space="preserve">Exception Agent &amp; Human Handoff Router Shell (new)</t>
  </si>
  <si>
    <t xml:space="preserve">Foundation, reusable and path skills</t>
  </si>
  <si>
    <t xml:space="preserve">Skill Layers 1, 2 and 3</t>
  </si>
  <si>
    <t xml:space="preserve">Segment classifier, requirement engine, platform resolver, confidence policy</t>
  </si>
  <si>
    <t xml:space="preserve">Decision Services Foundation (new)</t>
  </si>
  <si>
    <t xml:space="preserve">Entitlements</t>
  </si>
  <si>
    <t xml:space="preserve">Identity &amp; Policy Shell (MCP Group 1)</t>
  </si>
  <si>
    <t xml:space="preserve">AI gateway</t>
  </si>
  <si>
    <t xml:space="preserve">AI Gateway Integration Shell (new)</t>
  </si>
  <si>
    <t xml:space="preserve">MCP gateway</t>
  </si>
  <si>
    <t xml:space="preserve">Identity &amp; Policy Shell (enforcement)</t>
  </si>
  <si>
    <t xml:space="preserve">L8 MCP servers</t>
  </si>
  <si>
    <t xml:space="preserve">Case</t>
  </si>
  <si>
    <t xml:space="preserve">Documents, census, product and plans</t>
  </si>
  <si>
    <t xml:space="preserve">Documents, Census &amp; Plan MCP Shell (MCP Group 3)</t>
  </si>
  <si>
    <t xml:space="preserve">Quote and rating, underwriting</t>
  </si>
  <si>
    <t xml:space="preserve">Quote, Rating &amp; Underwriting MCP Shell (MCP Group 4)</t>
  </si>
  <si>
    <t xml:space="preserve">Install adapters</t>
  </si>
  <si>
    <t xml:space="preserve">Enrollment, Installation &amp; Assurance MCP Shell (MCP Group 5)</t>
  </si>
  <si>
    <t xml:space="preserve">Membership, benefits and claims, producer</t>
  </si>
  <si>
    <t xml:space="preserve">Not in foundational scope</t>
  </si>
  <si>
    <t xml:space="preserve">L9 Outputs</t>
  </si>
  <si>
    <t xml:space="preserve">Systems of record, notices and documents, partner callbacks</t>
  </si>
  <si>
    <t xml:space="preserve">Installation and proposal shells; Partner Gateway Shell</t>
  </si>
  <si>
    <t xml:space="preserve">Human handoff router</t>
  </si>
  <si>
    <t xml:space="preserve">LingoScope operability, eval harness</t>
  </si>
  <si>
    <t xml:space="preserve">Observability (LingoScope) &amp; Eval Harness Foundation (new)</t>
  </si>
  <si>
    <t xml:space="preserve">Size</t>
  </si>
  <si>
    <t xml:space="preserve">Meaning (assumption for foundational shells; adjust to team velocity)</t>
  </si>
  <si>
    <t xml:space="preserve">Feature count</t>
  </si>
  <si>
    <t xml:space="preserve">XS</t>
  </si>
  <si>
    <t xml:space="preserve">Configuration or a small change; under one sprint for one team</t>
  </si>
  <si>
    <t xml:space="preserve">About one sprint for one team</t>
  </si>
  <si>
    <t xml:space="preserve">Two to three sprints for one team</t>
  </si>
  <si>
    <t xml:space="preserve">Four to six sprints, or work spanning two teams</t>
  </si>
  <si>
    <t xml:space="preserve">More than six sprints or several teams; consider splitting</t>
  </si>
  <si>
    <t xml:space="preserve">Total</t>
  </si>
  <si>
    <t xml:space="preserve">Note</t>
  </si>
  <si>
    <t xml:space="preserve">Sizes are preliminary and assume shell scope: architecture wired end to end with one thin working capability. The XL on the UDF Gateway feature comes from the existing Rally entry. Rows highlighted yellow on the Features tab are new proposed features. IDs and three names were read from a screenshot and should be checked against Rally.</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</si>
</sst>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9"/>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40"/>
    <col collapsed="false" customWidth="true" hidden="false" outlineLevel="0" max="4" min="4" style="0" width="13"/>
    <col collapsed="false" customWidth="true" hidden="false" outlineLevel="0" max="5" min="5" style="0" width="28"/>
    <col collapsed="false" customWidth="true" hidden="false" outlineLevel="0" max="6" min="6" style="0" width="34"/>
    <col collapsed="false" customWidth="true" hidden="false" outlineLevel="0" max="7" min="7" style="0" width="12"/>
    <col collapsed="false" customWidth="true" hidden="false" outlineLevel="0" max="8" min="8" style="0" width="60"/>
    <col collapsed="false" customWidth="true" hidden="false" outlineLevel="0" max="9" min="9" style="0" width="55"/>
    <col collapsed="false" customWidth="true" hidden="false" outlineLevel="0" max="10" min="10" style="0" width="45"/>
    <col collapsed="false" customWidth="true" hidden="false" outlineLevel="0" max="11" min="11" style="0" width="65"/>
    <col collapsed="false" customWidth="true" hidden="false" outlineLevel="0" max="12" min="12" style="0" width="40"/>
    <col collapsed="false" customWidth="true" hidden="false" outlineLevel="0" max="13" min="13" style="0" width="45"/>
    <col collapsed="false" customWidth="true" hidden="false" outlineLevel="0" max="14" min="14" style="0" width="14"/>
    <col collapsed="false" customWidth="true" hidden="false" outlineLevel="0" max="15" min="15" style="0" width="18"/>
    <col collapsed="false" customWidth="true" hidden="false" outlineLevel="0" max="17" min="16" style="0" width="13"/>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13.4" hidden="false" customHeight="false" outlineLevel="0" collapsed="false">
      <c r="A2" s="2" t="s">
        <v>17</v>
      </c>
      <c r="B2" s="2" t="s">
        <v>18</v>
      </c>
      <c r="C2" s="2" t="s">
        <v>19</v>
      </c>
      <c r="D2" s="2" t="s">
        <v>20</v>
      </c>
      <c r="E2" s="2" t="s">
        <v>21</v>
      </c>
      <c r="F2" s="2" t="s">
        <v>22</v>
      </c>
      <c r="G2" s="2" t="s">
        <v>23</v>
      </c>
      <c r="H2" s="2" t="s">
        <v>24</v>
      </c>
      <c r="I2" s="2" t="s">
        <v>25</v>
      </c>
      <c r="J2" s="2" t="s">
        <v>26</v>
      </c>
      <c r="K2" s="2" t="s">
        <v>27</v>
      </c>
      <c r="L2" s="2" t="s">
        <v>28</v>
      </c>
      <c r="M2" s="2" t="s">
        <v>29</v>
      </c>
      <c r="N2" s="2" t="s">
        <v>30</v>
      </c>
      <c r="O2" s="2" t="s">
        <v>31</v>
      </c>
      <c r="P2" s="2" t="s">
        <v>32</v>
      </c>
      <c r="Q2" s="2" t="s">
        <v>33</v>
      </c>
    </row>
    <row r="3" customFormat="false" ht="102.2" hidden="false" customHeight="false" outlineLevel="0" collapsed="false">
      <c r="A3" s="2" t="s">
        <v>34</v>
      </c>
      <c r="B3" s="2" t="s">
        <v>35</v>
      </c>
      <c r="C3" s="2" t="s">
        <v>36</v>
      </c>
      <c r="D3" s="2" t="s">
        <v>20</v>
      </c>
      <c r="E3" s="2" t="s">
        <v>37</v>
      </c>
      <c r="F3" s="2" t="s">
        <v>38</v>
      </c>
      <c r="G3" s="2" t="s">
        <v>39</v>
      </c>
      <c r="H3" s="2" t="s">
        <v>40</v>
      </c>
      <c r="I3" s="2" t="s">
        <v>41</v>
      </c>
      <c r="J3" s="2" t="s">
        <v>42</v>
      </c>
      <c r="K3" s="2" t="s">
        <v>43</v>
      </c>
      <c r="L3" s="2" t="s">
        <v>44</v>
      </c>
      <c r="M3" s="2" t="s">
        <v>45</v>
      </c>
      <c r="N3" s="2" t="s">
        <v>30</v>
      </c>
      <c r="O3" s="2" t="s">
        <v>31</v>
      </c>
      <c r="P3" s="2" t="s">
        <v>32</v>
      </c>
      <c r="Q3" s="2" t="s">
        <v>33</v>
      </c>
    </row>
    <row r="4" customFormat="false" ht="91" hidden="false" customHeight="false" outlineLevel="0" collapsed="false">
      <c r="A4" s="2" t="s">
        <v>46</v>
      </c>
      <c r="B4" s="2" t="s">
        <v>47</v>
      </c>
      <c r="C4" s="2" t="s">
        <v>48</v>
      </c>
      <c r="D4" s="2" t="s">
        <v>20</v>
      </c>
      <c r="E4" s="2" t="s">
        <v>49</v>
      </c>
      <c r="F4" s="2" t="s">
        <v>50</v>
      </c>
      <c r="G4" s="2" t="s">
        <v>23</v>
      </c>
      <c r="H4" s="2" t="s">
        <v>51</v>
      </c>
      <c r="I4" s="2" t="s">
        <v>52</v>
      </c>
      <c r="J4" s="2" t="s">
        <v>53</v>
      </c>
      <c r="K4" s="2" t="s">
        <v>54</v>
      </c>
      <c r="L4" s="2" t="s">
        <v>55</v>
      </c>
      <c r="M4" s="2" t="s">
        <v>56</v>
      </c>
      <c r="N4" s="2" t="s">
        <v>30</v>
      </c>
      <c r="O4" s="2" t="s">
        <v>31</v>
      </c>
      <c r="P4" s="2" t="s">
        <v>32</v>
      </c>
      <c r="Q4" s="2" t="s">
        <v>33</v>
      </c>
    </row>
    <row r="5" customFormat="false" ht="91" hidden="false" customHeight="false" outlineLevel="0" collapsed="false">
      <c r="A5" s="2" t="s">
        <v>57</v>
      </c>
      <c r="B5" s="2" t="s">
        <v>58</v>
      </c>
      <c r="C5" s="2" t="s">
        <v>59</v>
      </c>
      <c r="D5" s="2" t="s">
        <v>20</v>
      </c>
      <c r="E5" s="2" t="s">
        <v>60</v>
      </c>
      <c r="F5" s="2" t="s">
        <v>61</v>
      </c>
      <c r="G5" s="2" t="s">
        <v>39</v>
      </c>
      <c r="H5" s="2" t="s">
        <v>62</v>
      </c>
      <c r="I5" s="2" t="s">
        <v>63</v>
      </c>
      <c r="J5" s="2" t="s">
        <v>64</v>
      </c>
      <c r="K5" s="2" t="s">
        <v>65</v>
      </c>
      <c r="L5" s="2" t="s">
        <v>66</v>
      </c>
      <c r="M5" s="2" t="s">
        <v>67</v>
      </c>
      <c r="N5" s="2" t="s">
        <v>30</v>
      </c>
      <c r="O5" s="2" t="s">
        <v>31</v>
      </c>
      <c r="P5" s="2" t="s">
        <v>32</v>
      </c>
      <c r="Q5" s="2" t="s">
        <v>33</v>
      </c>
    </row>
    <row r="6" customFormat="false" ht="102.2" hidden="false" customHeight="false" outlineLevel="0" collapsed="false">
      <c r="A6" s="2" t="s">
        <v>68</v>
      </c>
      <c r="B6" s="2" t="s">
        <v>69</v>
      </c>
      <c r="C6" s="2" t="s">
        <v>70</v>
      </c>
      <c r="D6" s="2" t="s">
        <v>20</v>
      </c>
      <c r="E6" s="2" t="s">
        <v>71</v>
      </c>
      <c r="F6" s="2" t="s">
        <v>72</v>
      </c>
      <c r="G6" s="2" t="s">
        <v>39</v>
      </c>
      <c r="H6" s="2" t="s">
        <v>73</v>
      </c>
      <c r="I6" s="2" t="s">
        <v>74</v>
      </c>
      <c r="J6" s="2" t="s">
        <v>75</v>
      </c>
      <c r="K6" s="2" t="s">
        <v>76</v>
      </c>
      <c r="L6" s="2" t="s">
        <v>77</v>
      </c>
      <c r="M6" s="2" t="s">
        <v>78</v>
      </c>
      <c r="N6" s="2" t="s">
        <v>30</v>
      </c>
      <c r="O6" s="2" t="s">
        <v>31</v>
      </c>
      <c r="P6" s="2" t="s">
        <v>32</v>
      </c>
      <c r="Q6" s="2" t="s">
        <v>33</v>
      </c>
    </row>
    <row r="7" customFormat="false" ht="68.65" hidden="false" customHeight="false" outlineLevel="0" collapsed="false">
      <c r="A7" s="2" t="s">
        <v>79</v>
      </c>
      <c r="B7" s="2" t="s">
        <v>80</v>
      </c>
      <c r="C7" s="2" t="s">
        <v>81</v>
      </c>
      <c r="D7" s="2" t="s">
        <v>20</v>
      </c>
      <c r="E7" s="2" t="s">
        <v>82</v>
      </c>
      <c r="F7" s="2" t="s">
        <v>83</v>
      </c>
      <c r="G7" s="2" t="s">
        <v>84</v>
      </c>
      <c r="H7" s="2" t="s">
        <v>85</v>
      </c>
      <c r="I7" s="2" t="s">
        <v>86</v>
      </c>
      <c r="J7" s="2" t="s">
        <v>87</v>
      </c>
      <c r="K7" s="2" t="s">
        <v>88</v>
      </c>
      <c r="L7" s="2" t="s">
        <v>89</v>
      </c>
      <c r="M7" s="2" t="s">
        <v>90</v>
      </c>
      <c r="N7" s="2" t="s">
        <v>30</v>
      </c>
      <c r="O7" s="2" t="s">
        <v>31</v>
      </c>
      <c r="P7" s="2" t="s">
        <v>32</v>
      </c>
      <c r="Q7" s="2" t="s">
        <v>33</v>
      </c>
    </row>
    <row r="8" customFormat="false" ht="68.65" hidden="false" customHeight="false" outlineLevel="0" collapsed="false">
      <c r="A8" s="2" t="s">
        <v>91</v>
      </c>
      <c r="B8" s="2" t="s">
        <v>92</v>
      </c>
      <c r="C8" s="2" t="s">
        <v>93</v>
      </c>
      <c r="D8" s="2" t="s">
        <v>20</v>
      </c>
      <c r="E8" s="2" t="s">
        <v>94</v>
      </c>
      <c r="F8" s="2" t="s">
        <v>95</v>
      </c>
      <c r="G8" s="2" t="s">
        <v>39</v>
      </c>
      <c r="H8" s="2" t="s">
        <v>96</v>
      </c>
      <c r="I8" s="2" t="s">
        <v>97</v>
      </c>
      <c r="J8" s="2" t="s">
        <v>98</v>
      </c>
      <c r="K8" s="2" t="s">
        <v>99</v>
      </c>
      <c r="L8" s="2" t="s">
        <v>100</v>
      </c>
      <c r="M8" s="2"/>
      <c r="N8" s="2" t="s">
        <v>30</v>
      </c>
      <c r="O8" s="2" t="s">
        <v>31</v>
      </c>
      <c r="P8" s="2" t="s">
        <v>32</v>
      </c>
      <c r="Q8" s="2" t="s">
        <v>33</v>
      </c>
    </row>
    <row r="9" customFormat="false" ht="68.65" hidden="false" customHeight="false" outlineLevel="0" collapsed="false">
      <c r="A9" s="2" t="s">
        <v>101</v>
      </c>
      <c r="B9" s="2" t="s">
        <v>102</v>
      </c>
      <c r="C9" s="2" t="s">
        <v>103</v>
      </c>
      <c r="D9" s="2" t="s">
        <v>20</v>
      </c>
      <c r="E9" s="2" t="s">
        <v>104</v>
      </c>
      <c r="F9" s="2" t="s">
        <v>105</v>
      </c>
      <c r="G9" s="2" t="s">
        <v>84</v>
      </c>
      <c r="H9" s="2" t="s">
        <v>106</v>
      </c>
      <c r="I9" s="2" t="s">
        <v>107</v>
      </c>
      <c r="J9" s="2" t="s">
        <v>108</v>
      </c>
      <c r="K9" s="2" t="s">
        <v>109</v>
      </c>
      <c r="L9" s="2" t="s">
        <v>110</v>
      </c>
      <c r="M9" s="2" t="s">
        <v>111</v>
      </c>
      <c r="N9" s="2" t="s">
        <v>30</v>
      </c>
      <c r="O9" s="2" t="s">
        <v>31</v>
      </c>
      <c r="P9" s="2" t="s">
        <v>32</v>
      </c>
      <c r="Q9" s="2" t="s">
        <v>33</v>
      </c>
    </row>
    <row r="10" customFormat="false" ht="57.45" hidden="false" customHeight="false" outlineLevel="0" collapsed="false">
      <c r="A10" s="2" t="s">
        <v>112</v>
      </c>
      <c r="B10" s="2" t="s">
        <v>113</v>
      </c>
      <c r="C10" s="2" t="s">
        <v>114</v>
      </c>
      <c r="D10" s="2" t="s">
        <v>20</v>
      </c>
      <c r="E10" s="2" t="s">
        <v>104</v>
      </c>
      <c r="F10" s="2" t="s">
        <v>115</v>
      </c>
      <c r="G10" s="2" t="s">
        <v>39</v>
      </c>
      <c r="H10" s="2" t="s">
        <v>116</v>
      </c>
      <c r="I10" s="2" t="s">
        <v>117</v>
      </c>
      <c r="J10" s="2" t="s">
        <v>118</v>
      </c>
      <c r="K10" s="2" t="s">
        <v>119</v>
      </c>
      <c r="L10" s="2" t="s">
        <v>120</v>
      </c>
      <c r="M10" s="2" t="s">
        <v>121</v>
      </c>
      <c r="N10" s="2" t="s">
        <v>30</v>
      </c>
      <c r="O10" s="2" t="s">
        <v>31</v>
      </c>
      <c r="P10" s="2" t="s">
        <v>32</v>
      </c>
      <c r="Q10" s="2" t="s">
        <v>33</v>
      </c>
    </row>
    <row r="11" customFormat="false" ht="79.85" hidden="false" customHeight="false" outlineLevel="0" collapsed="false">
      <c r="A11" s="2" t="s">
        <v>122</v>
      </c>
      <c r="B11" s="2" t="s">
        <v>123</v>
      </c>
      <c r="C11" s="2" t="s">
        <v>124</v>
      </c>
      <c r="D11" s="2" t="s">
        <v>20</v>
      </c>
      <c r="E11" s="2" t="s">
        <v>125</v>
      </c>
      <c r="F11" s="2" t="s">
        <v>126</v>
      </c>
      <c r="G11" s="2" t="s">
        <v>23</v>
      </c>
      <c r="H11" s="2" t="s">
        <v>127</v>
      </c>
      <c r="I11" s="2" t="s">
        <v>128</v>
      </c>
      <c r="J11" s="2" t="s">
        <v>129</v>
      </c>
      <c r="K11" s="2" t="s">
        <v>130</v>
      </c>
      <c r="L11" s="2" t="s">
        <v>131</v>
      </c>
      <c r="M11" s="2" t="s">
        <v>132</v>
      </c>
      <c r="N11" s="2" t="s">
        <v>30</v>
      </c>
      <c r="O11" s="2" t="s">
        <v>31</v>
      </c>
      <c r="P11" s="2" t="s">
        <v>32</v>
      </c>
      <c r="Q11" s="2" t="s">
        <v>33</v>
      </c>
    </row>
    <row r="12" customFormat="false" ht="79.85" hidden="false" customHeight="false" outlineLevel="0" collapsed="false">
      <c r="A12" s="2" t="s">
        <v>133</v>
      </c>
      <c r="B12" s="2" t="s">
        <v>134</v>
      </c>
      <c r="C12" s="2" t="s">
        <v>135</v>
      </c>
      <c r="D12" s="2" t="s">
        <v>20</v>
      </c>
      <c r="E12" s="2" t="s">
        <v>136</v>
      </c>
      <c r="F12" s="2" t="s">
        <v>137</v>
      </c>
      <c r="G12" s="2" t="s">
        <v>138</v>
      </c>
      <c r="H12" s="2" t="s">
        <v>139</v>
      </c>
      <c r="I12" s="2" t="s">
        <v>140</v>
      </c>
      <c r="J12" s="2" t="s">
        <v>141</v>
      </c>
      <c r="K12" s="2" t="s">
        <v>142</v>
      </c>
      <c r="L12" s="2" t="s">
        <v>143</v>
      </c>
      <c r="M12" s="2" t="s">
        <v>144</v>
      </c>
      <c r="N12" s="2" t="s">
        <v>30</v>
      </c>
      <c r="O12" s="2" t="s">
        <v>31</v>
      </c>
      <c r="P12" s="2" t="s">
        <v>32</v>
      </c>
      <c r="Q12" s="2" t="s">
        <v>33</v>
      </c>
    </row>
    <row r="13" customFormat="false" ht="79.85" hidden="false" customHeight="false" outlineLevel="0" collapsed="false">
      <c r="A13" s="2" t="s">
        <v>145</v>
      </c>
      <c r="B13" s="2" t="s">
        <v>146</v>
      </c>
      <c r="C13" s="2" t="s">
        <v>147</v>
      </c>
      <c r="D13" s="2" t="s">
        <v>20</v>
      </c>
      <c r="E13" s="2" t="s">
        <v>148</v>
      </c>
      <c r="F13" s="2" t="s">
        <v>149</v>
      </c>
      <c r="G13" s="2" t="s">
        <v>23</v>
      </c>
      <c r="H13" s="2" t="s">
        <v>150</v>
      </c>
      <c r="I13" s="2" t="s">
        <v>151</v>
      </c>
      <c r="J13" s="2" t="s">
        <v>152</v>
      </c>
      <c r="K13" s="2" t="s">
        <v>153</v>
      </c>
      <c r="L13" s="2" t="s">
        <v>154</v>
      </c>
      <c r="M13" s="2" t="s">
        <v>155</v>
      </c>
      <c r="N13" s="2" t="s">
        <v>30</v>
      </c>
      <c r="O13" s="2" t="s">
        <v>31</v>
      </c>
      <c r="P13" s="2" t="s">
        <v>32</v>
      </c>
      <c r="Q13" s="2" t="s">
        <v>33</v>
      </c>
    </row>
    <row r="14" customFormat="false" ht="91" hidden="false" customHeight="false" outlineLevel="0" collapsed="false">
      <c r="A14" s="2" t="s">
        <v>156</v>
      </c>
      <c r="B14" s="2" t="s">
        <v>157</v>
      </c>
      <c r="C14" s="2" t="s">
        <v>158</v>
      </c>
      <c r="D14" s="2" t="s">
        <v>20</v>
      </c>
      <c r="E14" s="2" t="s">
        <v>159</v>
      </c>
      <c r="F14" s="2" t="s">
        <v>160</v>
      </c>
      <c r="G14" s="2" t="s">
        <v>138</v>
      </c>
      <c r="H14" s="2" t="s">
        <v>161</v>
      </c>
      <c r="I14" s="2" t="s">
        <v>162</v>
      </c>
      <c r="J14" s="2" t="s">
        <v>163</v>
      </c>
      <c r="K14" s="2" t="s">
        <v>164</v>
      </c>
      <c r="L14" s="2" t="s">
        <v>165</v>
      </c>
      <c r="M14" s="2" t="s">
        <v>166</v>
      </c>
      <c r="N14" s="2" t="s">
        <v>30</v>
      </c>
      <c r="O14" s="2" t="s">
        <v>31</v>
      </c>
      <c r="P14" s="2" t="s">
        <v>32</v>
      </c>
      <c r="Q14" s="2" t="s">
        <v>33</v>
      </c>
    </row>
    <row r="15" customFormat="false" ht="68.65" hidden="false" customHeight="false" outlineLevel="0" collapsed="false">
      <c r="A15" s="2" t="s">
        <v>167</v>
      </c>
      <c r="B15" s="2" t="s">
        <v>168</v>
      </c>
      <c r="C15" s="2" t="s">
        <v>169</v>
      </c>
      <c r="D15" s="2" t="s">
        <v>20</v>
      </c>
      <c r="E15" s="2" t="s">
        <v>170</v>
      </c>
      <c r="F15" s="2" t="s">
        <v>171</v>
      </c>
      <c r="G15" s="2" t="s">
        <v>39</v>
      </c>
      <c r="H15" s="2" t="s">
        <v>172</v>
      </c>
      <c r="I15" s="2" t="s">
        <v>173</v>
      </c>
      <c r="J15" s="2" t="s">
        <v>174</v>
      </c>
      <c r="K15" s="2" t="s">
        <v>175</v>
      </c>
      <c r="L15" s="2" t="s">
        <v>176</v>
      </c>
      <c r="M15" s="2" t="s">
        <v>177</v>
      </c>
      <c r="N15" s="2" t="s">
        <v>30</v>
      </c>
      <c r="O15" s="2" t="s">
        <v>31</v>
      </c>
      <c r="P15" s="2" t="s">
        <v>32</v>
      </c>
      <c r="Q15" s="2" t="s">
        <v>33</v>
      </c>
    </row>
    <row r="16" customFormat="false" ht="68.65" hidden="false" customHeight="false" outlineLevel="0" collapsed="false">
      <c r="A16" s="2" t="s">
        <v>178</v>
      </c>
      <c r="B16" s="2" t="s">
        <v>179</v>
      </c>
      <c r="C16" s="2" t="s">
        <v>180</v>
      </c>
      <c r="D16" s="2" t="s">
        <v>20</v>
      </c>
      <c r="E16" s="2" t="s">
        <v>181</v>
      </c>
      <c r="F16" s="2" t="s">
        <v>182</v>
      </c>
      <c r="G16" s="2" t="s">
        <v>23</v>
      </c>
      <c r="H16" s="2" t="s">
        <v>183</v>
      </c>
      <c r="I16" s="2" t="s">
        <v>184</v>
      </c>
      <c r="J16" s="2" t="s">
        <v>185</v>
      </c>
      <c r="K16" s="2" t="s">
        <v>186</v>
      </c>
      <c r="L16" s="2" t="s">
        <v>187</v>
      </c>
      <c r="M16" s="2" t="s">
        <v>188</v>
      </c>
      <c r="N16" s="2" t="s">
        <v>30</v>
      </c>
      <c r="O16" s="2" t="s">
        <v>31</v>
      </c>
      <c r="P16" s="2" t="s">
        <v>32</v>
      </c>
      <c r="Q16" s="2" t="s">
        <v>33</v>
      </c>
    </row>
    <row r="17" customFormat="false" ht="57.45" hidden="false" customHeight="false" outlineLevel="0" collapsed="false">
      <c r="A17" s="2" t="s">
        <v>189</v>
      </c>
      <c r="B17" s="2" t="s">
        <v>190</v>
      </c>
      <c r="C17" s="2" t="s">
        <v>191</v>
      </c>
      <c r="D17" s="2" t="s">
        <v>20</v>
      </c>
      <c r="E17" s="2" t="s">
        <v>192</v>
      </c>
      <c r="F17" s="2" t="s">
        <v>193</v>
      </c>
      <c r="G17" s="2" t="s">
        <v>39</v>
      </c>
      <c r="H17" s="2" t="s">
        <v>194</v>
      </c>
      <c r="I17" s="2" t="s">
        <v>195</v>
      </c>
      <c r="J17" s="2" t="s">
        <v>196</v>
      </c>
      <c r="K17" s="2" t="s">
        <v>197</v>
      </c>
      <c r="L17" s="2" t="s">
        <v>198</v>
      </c>
      <c r="M17" s="2"/>
      <c r="N17" s="2" t="s">
        <v>30</v>
      </c>
      <c r="O17" s="2" t="s">
        <v>31</v>
      </c>
      <c r="P17" s="2" t="s">
        <v>32</v>
      </c>
      <c r="Q17" s="2" t="s">
        <v>33</v>
      </c>
    </row>
    <row r="18" customFormat="false" ht="68.65" hidden="false" customHeight="false" outlineLevel="0" collapsed="false">
      <c r="A18" s="3" t="s">
        <v>199</v>
      </c>
      <c r="B18" s="3" t="s">
        <v>200</v>
      </c>
      <c r="C18" s="3" t="s">
        <v>201</v>
      </c>
      <c r="D18" s="3" t="s">
        <v>202</v>
      </c>
      <c r="E18" s="3" t="s">
        <v>37</v>
      </c>
      <c r="F18" s="3" t="s">
        <v>203</v>
      </c>
      <c r="G18" s="3" t="s">
        <v>39</v>
      </c>
      <c r="H18" s="3" t="s">
        <v>204</v>
      </c>
      <c r="I18" s="3" t="s">
        <v>205</v>
      </c>
      <c r="J18" s="3" t="s">
        <v>206</v>
      </c>
      <c r="K18" s="3" t="s">
        <v>207</v>
      </c>
      <c r="L18" s="3" t="s">
        <v>208</v>
      </c>
      <c r="M18" s="3" t="s">
        <v>209</v>
      </c>
      <c r="N18" s="3" t="s">
        <v>210</v>
      </c>
      <c r="O18" s="3" t="s">
        <v>31</v>
      </c>
      <c r="P18" s="3"/>
      <c r="Q18" s="3"/>
    </row>
    <row r="19" customFormat="false" ht="46.25" hidden="false" customHeight="false" outlineLevel="0" collapsed="false">
      <c r="A19" s="3" t="s">
        <v>199</v>
      </c>
      <c r="B19" s="3" t="s">
        <v>200</v>
      </c>
      <c r="C19" s="3" t="s">
        <v>211</v>
      </c>
      <c r="D19" s="3" t="s">
        <v>202</v>
      </c>
      <c r="E19" s="3" t="s">
        <v>212</v>
      </c>
      <c r="F19" s="3" t="s">
        <v>213</v>
      </c>
      <c r="G19" s="3" t="s">
        <v>39</v>
      </c>
      <c r="H19" s="3" t="s">
        <v>214</v>
      </c>
      <c r="I19" s="3" t="s">
        <v>215</v>
      </c>
      <c r="J19" s="3" t="s">
        <v>216</v>
      </c>
      <c r="K19" s="3" t="s">
        <v>217</v>
      </c>
      <c r="L19" s="3" t="s">
        <v>218</v>
      </c>
      <c r="M19" s="3" t="s">
        <v>219</v>
      </c>
      <c r="N19" s="3" t="s">
        <v>210</v>
      </c>
      <c r="O19" s="3" t="s">
        <v>31</v>
      </c>
      <c r="P19" s="3"/>
      <c r="Q19" s="3"/>
    </row>
    <row r="20" customFormat="false" ht="102.2" hidden="false" customHeight="false" outlineLevel="0" collapsed="false">
      <c r="A20" s="3" t="s">
        <v>199</v>
      </c>
      <c r="B20" s="3" t="s">
        <v>200</v>
      </c>
      <c r="C20" s="3" t="s">
        <v>220</v>
      </c>
      <c r="D20" s="3" t="s">
        <v>202</v>
      </c>
      <c r="E20" s="3" t="s">
        <v>221</v>
      </c>
      <c r="F20" s="3" t="s">
        <v>222</v>
      </c>
      <c r="G20" s="3" t="s">
        <v>23</v>
      </c>
      <c r="H20" s="3" t="s">
        <v>223</v>
      </c>
      <c r="I20" s="3" t="s">
        <v>224</v>
      </c>
      <c r="J20" s="3" t="s">
        <v>225</v>
      </c>
      <c r="K20" s="3" t="s">
        <v>226</v>
      </c>
      <c r="L20" s="3" t="s">
        <v>227</v>
      </c>
      <c r="M20" s="3" t="s">
        <v>228</v>
      </c>
      <c r="N20" s="3" t="s">
        <v>210</v>
      </c>
      <c r="O20" s="3" t="s">
        <v>31</v>
      </c>
      <c r="P20" s="3"/>
      <c r="Q20" s="3"/>
    </row>
    <row r="21" customFormat="false" ht="46.25" hidden="false" customHeight="false" outlineLevel="0" collapsed="false">
      <c r="A21" s="3" t="s">
        <v>199</v>
      </c>
      <c r="B21" s="3" t="s">
        <v>200</v>
      </c>
      <c r="C21" s="3" t="s">
        <v>229</v>
      </c>
      <c r="D21" s="3" t="s">
        <v>202</v>
      </c>
      <c r="E21" s="3" t="s">
        <v>230</v>
      </c>
      <c r="F21" s="3" t="s">
        <v>231</v>
      </c>
      <c r="G21" s="3" t="s">
        <v>39</v>
      </c>
      <c r="H21" s="3" t="s">
        <v>232</v>
      </c>
      <c r="I21" s="3" t="s">
        <v>233</v>
      </c>
      <c r="J21" s="3" t="s">
        <v>234</v>
      </c>
      <c r="K21" s="3" t="s">
        <v>235</v>
      </c>
      <c r="L21" s="3" t="s">
        <v>236</v>
      </c>
      <c r="M21" s="3" t="s">
        <v>237</v>
      </c>
      <c r="N21" s="3" t="s">
        <v>210</v>
      </c>
      <c r="O21" s="3" t="s">
        <v>31</v>
      </c>
      <c r="P21" s="3"/>
      <c r="Q21" s="3"/>
    </row>
    <row r="22" customFormat="false" ht="57.45" hidden="false" customHeight="false" outlineLevel="0" collapsed="false">
      <c r="A22" s="3" t="s">
        <v>199</v>
      </c>
      <c r="B22" s="3" t="s">
        <v>200</v>
      </c>
      <c r="C22" s="3" t="s">
        <v>238</v>
      </c>
      <c r="D22" s="3" t="s">
        <v>202</v>
      </c>
      <c r="E22" s="3" t="s">
        <v>239</v>
      </c>
      <c r="F22" s="3" t="s">
        <v>240</v>
      </c>
      <c r="G22" s="3" t="s">
        <v>39</v>
      </c>
      <c r="H22" s="3" t="s">
        <v>241</v>
      </c>
      <c r="I22" s="3" t="s">
        <v>242</v>
      </c>
      <c r="J22" s="3" t="s">
        <v>243</v>
      </c>
      <c r="K22" s="3" t="s">
        <v>244</v>
      </c>
      <c r="L22" s="3" t="s">
        <v>245</v>
      </c>
      <c r="M22" s="3" t="s">
        <v>246</v>
      </c>
      <c r="N22" s="3" t="s">
        <v>210</v>
      </c>
      <c r="O22" s="3" t="s">
        <v>31</v>
      </c>
      <c r="P22" s="3"/>
      <c r="Q22" s="3"/>
    </row>
    <row r="23" customFormat="false" ht="57.45" hidden="false" customHeight="false" outlineLevel="0" collapsed="false">
      <c r="A23" s="3" t="s">
        <v>199</v>
      </c>
      <c r="B23" s="3" t="s">
        <v>200</v>
      </c>
      <c r="C23" s="3" t="s">
        <v>247</v>
      </c>
      <c r="D23" s="3" t="s">
        <v>202</v>
      </c>
      <c r="E23" s="3" t="s">
        <v>248</v>
      </c>
      <c r="F23" s="3" t="s">
        <v>249</v>
      </c>
      <c r="G23" s="3" t="s">
        <v>39</v>
      </c>
      <c r="H23" s="3" t="s">
        <v>250</v>
      </c>
      <c r="I23" s="3" t="s">
        <v>251</v>
      </c>
      <c r="J23" s="3" t="s">
        <v>252</v>
      </c>
      <c r="K23" s="3" t="s">
        <v>253</v>
      </c>
      <c r="L23" s="3" t="s">
        <v>254</v>
      </c>
      <c r="M23" s="3" t="s">
        <v>255</v>
      </c>
      <c r="N23" s="3" t="s">
        <v>210</v>
      </c>
      <c r="O23" s="3" t="s">
        <v>31</v>
      </c>
      <c r="P23" s="3"/>
      <c r="Q23" s="3"/>
    </row>
    <row r="24" customFormat="false" ht="35.05" hidden="false" customHeight="false" outlineLevel="0" collapsed="false">
      <c r="A24" s="3" t="s">
        <v>199</v>
      </c>
      <c r="B24" s="3" t="s">
        <v>200</v>
      </c>
      <c r="C24" s="3" t="s">
        <v>256</v>
      </c>
      <c r="D24" s="3" t="s">
        <v>202</v>
      </c>
      <c r="E24" s="3" t="s">
        <v>37</v>
      </c>
      <c r="F24" s="3" t="s">
        <v>257</v>
      </c>
      <c r="G24" s="3" t="s">
        <v>84</v>
      </c>
      <c r="H24" s="3" t="s">
        <v>258</v>
      </c>
      <c r="I24" s="3" t="s">
        <v>259</v>
      </c>
      <c r="J24" s="3" t="s">
        <v>260</v>
      </c>
      <c r="K24" s="3" t="s">
        <v>261</v>
      </c>
      <c r="L24" s="3" t="s">
        <v>262</v>
      </c>
      <c r="M24" s="3" t="s">
        <v>263</v>
      </c>
      <c r="N24" s="3" t="s">
        <v>210</v>
      </c>
      <c r="O24" s="3" t="s">
        <v>31</v>
      </c>
      <c r="P24" s="3"/>
      <c r="Q24" s="3"/>
    </row>
    <row r="25" customFormat="false" ht="35.05" hidden="false" customHeight="false" outlineLevel="0" collapsed="false">
      <c r="A25" s="3" t="s">
        <v>199</v>
      </c>
      <c r="B25" s="3" t="s">
        <v>200</v>
      </c>
      <c r="C25" s="3" t="s">
        <v>264</v>
      </c>
      <c r="D25" s="3" t="s">
        <v>202</v>
      </c>
      <c r="E25" s="3" t="s">
        <v>37</v>
      </c>
      <c r="F25" s="3" t="s">
        <v>265</v>
      </c>
      <c r="G25" s="3" t="s">
        <v>84</v>
      </c>
      <c r="H25" s="3" t="s">
        <v>266</v>
      </c>
      <c r="I25" s="3" t="s">
        <v>267</v>
      </c>
      <c r="J25" s="3" t="s">
        <v>268</v>
      </c>
      <c r="K25" s="3" t="s">
        <v>269</v>
      </c>
      <c r="L25" s="3" t="s">
        <v>270</v>
      </c>
      <c r="M25" s="3" t="s">
        <v>263</v>
      </c>
      <c r="N25" s="3" t="s">
        <v>210</v>
      </c>
      <c r="O25" s="3" t="s">
        <v>31</v>
      </c>
      <c r="P25" s="3"/>
      <c r="Q25" s="3"/>
    </row>
  </sheetData>
  <autoFilter ref="A1:Q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5"/>
    <col collapsed="false" customWidth="true" hidden="false" outlineLevel="0" max="3" min="3" style="0" width="70"/>
  </cols>
  <sheetData>
    <row r="1" customFormat="false" ht="15" hidden="false" customHeight="false" outlineLevel="0" collapsed="false">
      <c r="A1" s="4" t="s">
        <v>4</v>
      </c>
      <c r="B1" s="4" t="s">
        <v>271</v>
      </c>
      <c r="C1" s="4" t="s">
        <v>272</v>
      </c>
    </row>
    <row r="2" customFormat="false" ht="15" hidden="false" customHeight="false" outlineLevel="0" collapsed="false">
      <c r="A2" s="2" t="s">
        <v>273</v>
      </c>
      <c r="B2" s="2" t="s">
        <v>274</v>
      </c>
      <c r="C2" s="2" t="s">
        <v>275</v>
      </c>
    </row>
    <row r="3" customFormat="false" ht="15" hidden="false" customHeight="false" outlineLevel="0" collapsed="false">
      <c r="A3" s="2" t="s">
        <v>276</v>
      </c>
      <c r="B3" s="2" t="s">
        <v>277</v>
      </c>
      <c r="C3" s="2" t="s">
        <v>278</v>
      </c>
    </row>
    <row r="4" customFormat="false" ht="15" hidden="false" customHeight="false" outlineLevel="0" collapsed="false">
      <c r="A4" s="2" t="s">
        <v>276</v>
      </c>
      <c r="B4" s="2" t="s">
        <v>279</v>
      </c>
      <c r="C4" s="2" t="s">
        <v>280</v>
      </c>
    </row>
    <row r="5" customFormat="false" ht="23.85" hidden="false" customHeight="false" outlineLevel="0" collapsed="false">
      <c r="A5" s="2" t="s">
        <v>276</v>
      </c>
      <c r="B5" s="2" t="s">
        <v>281</v>
      </c>
      <c r="C5" s="2" t="s">
        <v>282</v>
      </c>
    </row>
    <row r="6" customFormat="false" ht="15" hidden="false" customHeight="false" outlineLevel="0" collapsed="false">
      <c r="A6" s="2" t="s">
        <v>49</v>
      </c>
      <c r="B6" s="2" t="s">
        <v>283</v>
      </c>
      <c r="C6" s="2" t="s">
        <v>284</v>
      </c>
    </row>
    <row r="7" customFormat="false" ht="15" hidden="false" customHeight="false" outlineLevel="0" collapsed="false">
      <c r="A7" s="2" t="s">
        <v>49</v>
      </c>
      <c r="B7" s="2" t="s">
        <v>285</v>
      </c>
      <c r="C7" s="2" t="s">
        <v>286</v>
      </c>
    </row>
    <row r="8" customFormat="false" ht="15" hidden="false" customHeight="false" outlineLevel="0" collapsed="false">
      <c r="A8" s="2" t="s">
        <v>49</v>
      </c>
      <c r="B8" s="2" t="s">
        <v>287</v>
      </c>
      <c r="C8" s="2" t="s">
        <v>158</v>
      </c>
    </row>
    <row r="9" customFormat="false" ht="15" hidden="false" customHeight="false" outlineLevel="0" collapsed="false">
      <c r="A9" s="2" t="s">
        <v>288</v>
      </c>
      <c r="B9" s="2" t="s">
        <v>289</v>
      </c>
      <c r="C9" s="2" t="s">
        <v>290</v>
      </c>
    </row>
    <row r="10" customFormat="false" ht="15" hidden="false" customHeight="false" outlineLevel="0" collapsed="false">
      <c r="A10" s="2" t="s">
        <v>288</v>
      </c>
      <c r="B10" s="2" t="s">
        <v>291</v>
      </c>
      <c r="C10" s="2" t="s">
        <v>292</v>
      </c>
    </row>
    <row r="11" customFormat="false" ht="15" hidden="false" customHeight="false" outlineLevel="0" collapsed="false">
      <c r="A11" s="2" t="s">
        <v>37</v>
      </c>
      <c r="B11" s="2" t="s">
        <v>293</v>
      </c>
      <c r="C11" s="2" t="s">
        <v>294</v>
      </c>
    </row>
    <row r="12" customFormat="false" ht="15" hidden="false" customHeight="false" outlineLevel="0" collapsed="false">
      <c r="A12" s="2" t="s">
        <v>37</v>
      </c>
      <c r="B12" s="2" t="s">
        <v>295</v>
      </c>
      <c r="C12" s="2" t="s">
        <v>296</v>
      </c>
    </row>
    <row r="13" customFormat="false" ht="15" hidden="false" customHeight="false" outlineLevel="0" collapsed="false">
      <c r="A13" s="2" t="s">
        <v>37</v>
      </c>
      <c r="B13" s="2" t="s">
        <v>297</v>
      </c>
      <c r="C13" s="2" t="s">
        <v>298</v>
      </c>
    </row>
    <row r="14" customFormat="false" ht="15" hidden="false" customHeight="false" outlineLevel="0" collapsed="false">
      <c r="A14" s="2" t="s">
        <v>37</v>
      </c>
      <c r="B14" s="2" t="s">
        <v>299</v>
      </c>
      <c r="C14" s="2" t="s">
        <v>300</v>
      </c>
    </row>
    <row r="15" customFormat="false" ht="15" hidden="false" customHeight="false" outlineLevel="0" collapsed="false">
      <c r="A15" s="2" t="s">
        <v>37</v>
      </c>
      <c r="B15" s="2" t="s">
        <v>301</v>
      </c>
      <c r="C15" s="2" t="s">
        <v>302</v>
      </c>
    </row>
    <row r="16" customFormat="false" ht="15" hidden="false" customHeight="false" outlineLevel="0" collapsed="false">
      <c r="A16" s="2" t="s">
        <v>37</v>
      </c>
      <c r="B16" s="2" t="s">
        <v>303</v>
      </c>
      <c r="C16" s="2" t="s">
        <v>304</v>
      </c>
    </row>
    <row r="17" customFormat="false" ht="15" hidden="false" customHeight="false" outlineLevel="0" collapsed="false">
      <c r="A17" s="2" t="s">
        <v>37</v>
      </c>
      <c r="B17" s="2" t="s">
        <v>305</v>
      </c>
      <c r="C17" s="2" t="s">
        <v>306</v>
      </c>
    </row>
    <row r="18" customFormat="false" ht="15" hidden="false" customHeight="false" outlineLevel="0" collapsed="false">
      <c r="A18" s="2" t="s">
        <v>37</v>
      </c>
      <c r="B18" s="2" t="s">
        <v>307</v>
      </c>
      <c r="C18" s="2" t="s">
        <v>308</v>
      </c>
    </row>
    <row r="19" customFormat="false" ht="15" hidden="false" customHeight="false" outlineLevel="0" collapsed="false">
      <c r="A19" s="2" t="s">
        <v>104</v>
      </c>
      <c r="B19" s="2" t="s">
        <v>309</v>
      </c>
      <c r="C19" s="2" t="s">
        <v>310</v>
      </c>
    </row>
    <row r="20" customFormat="false" ht="23.85" hidden="false" customHeight="false" outlineLevel="0" collapsed="false">
      <c r="A20" s="2" t="s">
        <v>221</v>
      </c>
      <c r="B20" s="2" t="s">
        <v>311</v>
      </c>
      <c r="C20" s="2" t="s">
        <v>312</v>
      </c>
    </row>
    <row r="21" customFormat="false" ht="15" hidden="false" customHeight="false" outlineLevel="0" collapsed="false">
      <c r="A21" s="2" t="s">
        <v>221</v>
      </c>
      <c r="B21" s="2" t="s">
        <v>313</v>
      </c>
      <c r="C21" s="2" t="s">
        <v>314</v>
      </c>
    </row>
    <row r="22" customFormat="false" ht="15" hidden="false" customHeight="false" outlineLevel="0" collapsed="false">
      <c r="A22" s="2" t="s">
        <v>230</v>
      </c>
      <c r="B22" s="2" t="s">
        <v>315</v>
      </c>
      <c r="C22" s="2" t="s">
        <v>316</v>
      </c>
    </row>
    <row r="23" customFormat="false" ht="15" hidden="false" customHeight="false" outlineLevel="0" collapsed="false">
      <c r="A23" s="2" t="s">
        <v>230</v>
      </c>
      <c r="B23" s="2" t="s">
        <v>317</v>
      </c>
      <c r="C23" s="2" t="s">
        <v>318</v>
      </c>
    </row>
    <row r="24" customFormat="false" ht="15" hidden="false" customHeight="false" outlineLevel="0" collapsed="false">
      <c r="A24" s="2" t="s">
        <v>319</v>
      </c>
      <c r="B24" s="2" t="s">
        <v>320</v>
      </c>
      <c r="C24" s="2" t="s">
        <v>158</v>
      </c>
    </row>
    <row r="25" customFormat="false" ht="15" hidden="false" customHeight="false" outlineLevel="0" collapsed="false">
      <c r="A25" s="2" t="s">
        <v>319</v>
      </c>
      <c r="B25" s="2" t="s">
        <v>321</v>
      </c>
      <c r="C25" s="2" t="s">
        <v>322</v>
      </c>
    </row>
    <row r="26" customFormat="false" ht="15" hidden="false" customHeight="false" outlineLevel="0" collapsed="false">
      <c r="A26" s="2" t="s">
        <v>319</v>
      </c>
      <c r="B26" s="2" t="s">
        <v>323</v>
      </c>
      <c r="C26" s="2" t="s">
        <v>324</v>
      </c>
    </row>
    <row r="27" customFormat="false" ht="15" hidden="false" customHeight="false" outlineLevel="0" collapsed="false">
      <c r="A27" s="2" t="s">
        <v>319</v>
      </c>
      <c r="B27" s="2" t="s">
        <v>325</v>
      </c>
      <c r="C27" s="2" t="s">
        <v>326</v>
      </c>
    </row>
    <row r="28" customFormat="false" ht="15" hidden="false" customHeight="false" outlineLevel="0" collapsed="false">
      <c r="A28" s="2" t="s">
        <v>319</v>
      </c>
      <c r="B28" s="2" t="s">
        <v>327</v>
      </c>
      <c r="C28" s="2" t="s">
        <v>328</v>
      </c>
    </row>
    <row r="29" customFormat="false" ht="15" hidden="false" customHeight="false" outlineLevel="0" collapsed="false">
      <c r="A29" s="2" t="s">
        <v>329</v>
      </c>
      <c r="B29" s="2" t="s">
        <v>330</v>
      </c>
      <c r="C29" s="2" t="s">
        <v>331</v>
      </c>
    </row>
    <row r="30" customFormat="false" ht="15" hidden="false" customHeight="false" outlineLevel="0" collapsed="false">
      <c r="A30" s="2" t="s">
        <v>239</v>
      </c>
      <c r="B30" s="2" t="s">
        <v>332</v>
      </c>
      <c r="C30" s="2" t="s">
        <v>308</v>
      </c>
    </row>
    <row r="31" customFormat="false" ht="15" hidden="false" customHeight="false" outlineLevel="0" collapsed="false">
      <c r="A31" s="2" t="s">
        <v>239</v>
      </c>
      <c r="B31" s="2" t="s">
        <v>333</v>
      </c>
      <c r="C31" s="2"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0"/>
    <col collapsed="false" customWidth="true" hidden="false" outlineLevel="0" max="3" min="3" style="0" width="14"/>
  </cols>
  <sheetData>
    <row r="1" customFormat="false" ht="26.85" hidden="false" customHeight="false" outlineLevel="0" collapsed="false">
      <c r="A1" s="5" t="s">
        <v>335</v>
      </c>
      <c r="B1" s="5" t="s">
        <v>336</v>
      </c>
      <c r="C1" s="5" t="s">
        <v>337</v>
      </c>
    </row>
    <row r="2" customFormat="false" ht="15" hidden="false" customHeight="false" outlineLevel="0" collapsed="false">
      <c r="A2" s="6" t="s">
        <v>338</v>
      </c>
      <c r="B2" s="6" t="s">
        <v>339</v>
      </c>
      <c r="C2" s="6" t="n">
        <f aca="false">COUNTIF(Features!$G$2:$G$25,A2)</f>
        <v>0</v>
      </c>
    </row>
    <row r="3" customFormat="false" ht="15" hidden="false" customHeight="false" outlineLevel="0" collapsed="false">
      <c r="A3" s="6" t="s">
        <v>84</v>
      </c>
      <c r="B3" s="6" t="s">
        <v>340</v>
      </c>
      <c r="C3" s="6" t="n">
        <f aca="false">COUNTIF(Features!$G$2:$G$25,A3)</f>
        <v>4</v>
      </c>
    </row>
    <row r="4" customFormat="false" ht="15" hidden="false" customHeight="false" outlineLevel="0" collapsed="false">
      <c r="A4" s="6" t="s">
        <v>39</v>
      </c>
      <c r="B4" s="6" t="s">
        <v>341</v>
      </c>
      <c r="C4" s="6" t="n">
        <f aca="false">COUNTIF(Features!$G$2:$G$25,A4)</f>
        <v>12</v>
      </c>
    </row>
    <row r="5" customFormat="false" ht="15" hidden="false" customHeight="false" outlineLevel="0" collapsed="false">
      <c r="A5" s="6" t="s">
        <v>23</v>
      </c>
      <c r="B5" s="6" t="s">
        <v>342</v>
      </c>
      <c r="C5" s="6" t="n">
        <f aca="false">COUNTIF(Features!$G$2:$G$25,A5)</f>
        <v>6</v>
      </c>
    </row>
    <row r="6" customFormat="false" ht="15" hidden="false" customHeight="false" outlineLevel="0" collapsed="false">
      <c r="A6" s="6" t="s">
        <v>138</v>
      </c>
      <c r="B6" s="6" t="s">
        <v>343</v>
      </c>
      <c r="C6" s="6" t="n">
        <f aca="false">COUNTIF(Features!$G$2:$G$25,A6)</f>
        <v>2</v>
      </c>
    </row>
    <row r="7" customFormat="false" ht="15" hidden="false" customHeight="false" outlineLevel="0" collapsed="false">
      <c r="A7" s="7" t="s">
        <v>344</v>
      </c>
      <c r="B7" s="6"/>
      <c r="C7" s="6" t="n">
        <f aca="false">SUM(C2:C6)</f>
        <v>24</v>
      </c>
    </row>
    <row r="8" customFormat="false" ht="15" hidden="false" customHeight="false" outlineLevel="0" collapsed="false">
      <c r="A8" s="6"/>
      <c r="B8" s="6"/>
      <c r="C8" s="6"/>
    </row>
    <row r="9" customFormat="false" ht="46.25" hidden="false" customHeight="false" outlineLevel="0" collapsed="false">
      <c r="A9" s="6" t="s">
        <v>345</v>
      </c>
      <c r="B9" s="6" t="s">
        <v>346</v>
      </c>
      <c r="C9"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2026-10-29T20:38:58Z</dcterms:created>
  <dc:creator>openpyxl</dc:creator>
  <dc:description/>
  <dc:language>en-US</dc:language>
  <cp:lastModifiedBy/>
  <dcterms:modified xsi:type="dcterms:W3CDTF">2026-10-29T20:38:58Z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